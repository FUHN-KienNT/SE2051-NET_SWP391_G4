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terials\5_Semester\SWP391\LearnHub\docs\"/>
    </mc:Choice>
  </mc:AlternateContent>
  <xr:revisionPtr revIDLastSave="0" documentId="13_ncr:1_{0D63A2E6-7922-400D-B277-B481FD704A37}" xr6:coauthVersionLast="47" xr6:coauthVersionMax="47" xr10:uidLastSave="{00000000-0000-0000-0000-000000000000}"/>
  <bookViews>
    <workbookView xWindow="-98" yWindow="-98" windowWidth="21795" windowHeight="12975" firstSheet="6" activeTab="9" xr2:uid="{00000000-000D-0000-FFFF-FFFF00000000}"/>
  </bookViews>
  <sheets>
    <sheet name="Cover" sheetId="1" r:id="rId1"/>
    <sheet name="Test Cases" sheetId="2" r:id="rId2"/>
    <sheet name="Test Statistics" sheetId="3" r:id="rId3"/>
    <sheet name="Authentication" sheetId="4" r:id="rId4"/>
    <sheet name="Home Page" sheetId="5" r:id="rId5"/>
    <sheet name="Lesson Management" sheetId="6" r:id="rId6"/>
    <sheet name="Admin dashboard &amp; Course listsd" sheetId="7" r:id="rId7"/>
    <sheet name="Course Browsing" sheetId="8" r:id="rId8"/>
    <sheet name="Quiz&amp;Question Management" sheetId="9" r:id="rId9"/>
    <sheet name="SecurityTest" sheetId="10" r:id="rId10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9" l="1"/>
  <c r="D8" i="9"/>
  <c r="C8" i="9"/>
  <c r="B8" i="9"/>
  <c r="E7" i="9"/>
  <c r="D7" i="9"/>
  <c r="C7" i="9"/>
  <c r="B7" i="9"/>
  <c r="E6" i="9"/>
  <c r="G12" i="3" s="1"/>
  <c r="D6" i="9"/>
  <c r="F12" i="3" s="1"/>
  <c r="C6" i="9"/>
  <c r="E12" i="3" s="1"/>
  <c r="B6" i="9"/>
  <c r="D12" i="3" s="1"/>
  <c r="B4" i="9"/>
  <c r="E8" i="8"/>
  <c r="D8" i="8"/>
  <c r="C8" i="8"/>
  <c r="B8" i="8"/>
  <c r="E7" i="8"/>
  <c r="D7" i="8"/>
  <c r="C7" i="8"/>
  <c r="B7" i="8"/>
  <c r="E6" i="8"/>
  <c r="D6" i="8"/>
  <c r="C6" i="8"/>
  <c r="B6" i="8"/>
  <c r="B4" i="8"/>
  <c r="E8" i="7"/>
  <c r="D8" i="7"/>
  <c r="C8" i="7"/>
  <c r="B8" i="7"/>
  <c r="E7" i="7"/>
  <c r="D7" i="7"/>
  <c r="C7" i="7"/>
  <c r="B7" i="7"/>
  <c r="E6" i="7"/>
  <c r="D6" i="7"/>
  <c r="C6" i="7"/>
  <c r="B6" i="7"/>
  <c r="B4" i="7"/>
  <c r="E8" i="6"/>
  <c r="D8" i="6"/>
  <c r="C8" i="6"/>
  <c r="B8" i="6"/>
  <c r="E7" i="6"/>
  <c r="D7" i="6"/>
  <c r="C7" i="6"/>
  <c r="B7" i="6"/>
  <c r="E6" i="6"/>
  <c r="G11" i="3" s="1"/>
  <c r="D6" i="6"/>
  <c r="F11" i="3" s="1"/>
  <c r="C6" i="6"/>
  <c r="E11" i="3" s="1"/>
  <c r="B6" i="6"/>
  <c r="D11" i="3" s="1"/>
  <c r="B4" i="6"/>
  <c r="E8" i="5"/>
  <c r="D8" i="5"/>
  <c r="C8" i="5"/>
  <c r="B8" i="5"/>
  <c r="E7" i="5"/>
  <c r="D7" i="5"/>
  <c r="C7" i="5"/>
  <c r="B7" i="5"/>
  <c r="E6" i="5"/>
  <c r="D6" i="5"/>
  <c r="C6" i="5"/>
  <c r="B6" i="5"/>
  <c r="B4" i="5"/>
  <c r="E8" i="4"/>
  <c r="D8" i="4"/>
  <c r="C8" i="4"/>
  <c r="B8" i="4"/>
  <c r="E7" i="4"/>
  <c r="D7" i="4"/>
  <c r="C7" i="4"/>
  <c r="B7" i="4"/>
  <c r="E6" i="4"/>
  <c r="D6" i="4"/>
  <c r="C6" i="4"/>
  <c r="B6" i="4"/>
  <c r="B4" i="4"/>
  <c r="H12" i="3"/>
  <c r="C12" i="3"/>
  <c r="H11" i="3"/>
  <c r="H18" i="3" s="1"/>
  <c r="C11" i="3"/>
  <c r="B6" i="1"/>
  <c r="G18" i="3" l="1"/>
  <c r="D18" i="3"/>
  <c r="F18" i="3"/>
  <c r="E18" i="3"/>
  <c r="E21" i="3" l="1"/>
  <c r="E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tc={72ca7d43-202a-49bd-953b-29389849b117}</author>
    <author>tc={40bac67b-081d-4b93-b8cc-f883804b5e48}</author>
  </authors>
  <commentList>
    <comment ref="A1" authorId="0" shapeId="0" xr:uid="{72CA7D43-202A-49BD-953B-29389849B117}">
      <text>
        <r>
          <rPr>
            <sz val="11"/>
            <color rgb="FF000000"/>
            <rFont val="MS PGothic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 all test cases (must run before this case), conditions that must be done, or required state that the system should be in before performing this case
</t>
        </r>
      </text>
    </comment>
    <comment ref="D10" authorId="1" shapeId="0" xr:uid="{40BAC67B-081D-4B93-B8CC-F883804B5E48}">
      <text>
        <r>
          <rPr>
            <sz val="11"/>
            <color rgb="FF000000"/>
            <rFont val="MS PGothic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tc={22447366-7996-4e6d-801b-f7d0eee55896}</author>
  </authors>
  <commentList>
    <comment ref="E10" authorId="0" shapeId="0" xr:uid="{22447366-7996-4E6D-801B-F7D0EEE55896}">
      <text>
        <r>
          <rPr>
            <sz val="11"/>
            <color rgb="FF000000"/>
            <rFont val="MS PGothic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 all test cases (must run before this case), conditions that must be done, or required state that the system should be in before performing this case
</t>
        </r>
      </text>
    </comment>
  </commentList>
</comments>
</file>

<file path=xl/sharedStrings.xml><?xml version="1.0" encoding="utf-8"?>
<sst xmlns="http://schemas.openxmlformats.org/spreadsheetml/2006/main" count="1165" uniqueCount="596">
  <si>
    <t>INTEGRATION TEST STATISTICS</t>
  </si>
  <si>
    <t>Feature</t>
  </si>
  <si>
    <t>TEST CASE LIST</t>
  </si>
  <si>
    <t>Authentication</t>
  </si>
  <si>
    <t>INTEGRATION TEST REPORT DOCUMENT</t>
  </si>
  <si>
    <t>Project Name</t>
  </si>
  <si>
    <t>LearnHub</t>
  </si>
  <si>
    <t>Project Code</t>
  </si>
  <si>
    <t>Creator</t>
  </si>
  <si>
    <t>KienLC</t>
  </si>
  <si>
    <t>Passed</t>
  </si>
  <si>
    <t>Test requirement</t>
  </si>
  <si>
    <t>Issue Date</t>
  </si>
  <si>
    <t>Test Environment Setup Description</t>
  </si>
  <si>
    <t>2026-10-03</t>
  </si>
  <si>
    <t>Integration across AuthServlet, session, EmailUtil, UserService, PasswordHashUtil, SettingDAO and UserDAO. And Google Callback flow</t>
  </si>
  <si>
    <t xml:space="preserve">1. Server: Apache Tomcat 10.1+ (Jakarta Servlet 6.0, JDK 17), URL: http://localhost:8080/learnhub/
2. Database: PostgreSQL 14+ (Port 5432, Database: courson_db, default schema &amp; seed data)
3. Web Browser: Google Chrome (Latest), Mozilla Firefox / Microsoft Edge
4. Email Testing: SMTP Server
5. Test Accounts:
   - Admin: admin / admin 
   - Manager: manager / manager 
   - Expert: expert / expert
   - Student: student / student
   - Seeded unverified/inactive accounts for token and state transition tests.	</t>
  </si>
  <si>
    <t>Document Code</t>
  </si>
  <si>
    <t>Failed</t>
  </si>
  <si>
    <t>Number of TCs</t>
  </si>
  <si>
    <t>Reviewer/Approver</t>
  </si>
  <si>
    <t>Version</t>
  </si>
  <si>
    <t>1.0.0</t>
  </si>
  <si>
    <t>Pending</t>
  </si>
  <si>
    <t>No</t>
  </si>
  <si>
    <t>Testing Round</t>
  </si>
  <si>
    <t>Function Name</t>
  </si>
  <si>
    <t>N/A</t>
  </si>
  <si>
    <t>Sheet Name</t>
  </si>
  <si>
    <t>Description</t>
  </si>
  <si>
    <t>Record of change</t>
  </si>
  <si>
    <t>Pre-Condition</t>
  </si>
  <si>
    <t>Round 1</t>
  </si>
  <si>
    <t>Effective Date</t>
  </si>
  <si>
    <t>Notes</t>
  </si>
  <si>
    <t>User Register</t>
  </si>
  <si>
    <t>Change Item</t>
  </si>
  <si>
    <t>*A,D,M</t>
  </si>
  <si>
    <t>Change description</t>
  </si>
  <si>
    <t>Reference</t>
  </si>
  <si>
    <t>Round 2</t>
  </si>
  <si>
    <t>Authentication, Home Page</t>
  </si>
  <si>
    <t>A</t>
  </si>
  <si>
    <t>Added 13 integration test cases covering AuthServlet, session management, EmailUtil, UserService, PasswordHashUtil, DAOs (SettingDAO, UserDAO), and Google Callback flow and Added 2 integration test cases to verify Home Page functionality, UI rendering, and data retrieval.</t>
  </si>
  <si>
    <t>Software Requirement Specification (SRS), Software Design Specification (SDS)</t>
  </si>
  <si>
    <t>Password Reset</t>
  </si>
  <si>
    <t>Round 3</t>
  </si>
  <si>
    <t>User Login</t>
  </si>
  <si>
    <t>Lesson Management</t>
  </si>
  <si>
    <t>Added 20 integration test cases to verify Lesson Management functionality and related data flows.</t>
  </si>
  <si>
    <t>Admin dashboard &amp; Course lists/details</t>
  </si>
  <si>
    <t>Added 16 integration test cases covering Admin Dashboard features, course listings, and course details management.</t>
  </si>
  <si>
    <t>Google Callback</t>
  </si>
  <si>
    <t>Course Browsing</t>
  </si>
  <si>
    <t>Added 22 integration test cases to verify course browsing flows, including viewing course lists (/courses), course details, and the checkout/enrollment process.</t>
  </si>
  <si>
    <t>Module code</t>
  </si>
  <si>
    <t>Quiz&amp;Question Management</t>
  </si>
  <si>
    <t>Added 23 integration test cases for Expert's Quiz and Question management, covering CRUD operations, search/filter, answer options, data validation, and access control.</t>
  </si>
  <si>
    <t>Test Case ID</t>
  </si>
  <si>
    <t>Home Page</t>
  </si>
  <si>
    <t>Test Case Description</t>
  </si>
  <si>
    <t>Test Case Procedure</t>
  </si>
  <si>
    <t>Number of  test cases</t>
  </si>
  <si>
    <t>Expected Results</t>
  </si>
  <si>
    <t>Pre-conditions</t>
  </si>
  <si>
    <t>Test date</t>
  </si>
  <si>
    <t>Tester</t>
  </si>
  <si>
    <t>Defect IDs</t>
  </si>
  <si>
    <t>Note</t>
  </si>
  <si>
    <t>Expert Dashboard</t>
  </si>
  <si>
    <t>Lesson Manage</t>
  </si>
  <si>
    <t>IT-REG-01</t>
  </si>
  <si>
    <t>Registration request creates pending session and sends email</t>
  </si>
  <si>
    <t>1. POST valid new identity to /auth/register.
2. Read test inbox and inspect account storage.</t>
  </si>
  <si>
    <t>EmailUtil sends one six-digit code; pending registration belongs to the HTTP session; UserDAO has no new row before verification.</t>
  </si>
  <si>
    <t>SMTP test inbox; unique identity; database query access.</t>
  </si>
  <si>
    <t>Lesson Detail</t>
  </si>
  <si>
    <t>Admin dashboard</t>
  </si>
  <si>
    <t>User lists</t>
  </si>
  <si>
    <t>IT-REG-02</t>
  </si>
  <si>
    <t>Verification creates active Student through service and DAOs</t>
  </si>
  <si>
    <t>1. Complete IT-REG-01.
2. POST valid code to /auth/verify-email.
3. Inspect user and role tables.</t>
  </si>
  <si>
    <t>User details</t>
  </si>
  <si>
    <t>UserService selects Student role via SettingDAO and inserts one active user via UserDAO with a BCrypt password hash.</t>
  </si>
  <si>
    <t>Pending registration; ROLE_STUDENT setting exists.</t>
  </si>
  <si>
    <t>IT-REG-03</t>
  </si>
  <si>
    <t>Duplicate identity blocks downstream insert</t>
  </si>
  <si>
    <t>Public course list</t>
  </si>
  <si>
    <t>1. POST registration with existing email or username.
2. Compare user row count before and after.</t>
  </si>
  <si>
    <t>UserService/UserDAO detect the duplicate; no verification email or extra user row is produced.</t>
  </si>
  <si>
    <t>Existing user fixture; SMTP test inbox; database query access.</t>
  </si>
  <si>
    <t>Public course details</t>
  </si>
  <si>
    <t>IT-RESET-01</t>
  </si>
  <si>
    <t>Reset request integrates lookup, email and session</t>
  </si>
  <si>
    <t>1. POST existing email to /auth/forgot-password.
2. Inspect test inbox and current user password hash.</t>
  </si>
  <si>
    <t>User lookup succeeds, EmailUtil sends a code, pending reset stays in session; stored password hash is unchanged.</t>
  </si>
  <si>
    <t>Existing Student; SMTP test inbox; database query access.</t>
  </si>
  <si>
    <t>Course checkout</t>
  </si>
  <si>
    <t>IT-RESET-02</t>
  </si>
  <si>
    <t>Verified code updates hash used by subsequent login</t>
  </si>
  <si>
    <t>1. Submit the valid reset code.
2. POST a new password.
3. Query user hash; attempt old/new login.</t>
  </si>
  <si>
    <t>Quiz list</t>
  </si>
  <si>
    <t>UserService hashes the new password and UserDAO updates the row; old login fails, new login succeeds; reset authorization is cleared.</t>
  </si>
  <si>
    <t>Same session as reset request; current code.</t>
  </si>
  <si>
    <t>IT-RESET-03</t>
  </si>
  <si>
    <t>Invalid code cannot update the password</t>
  </si>
  <si>
    <t>1. Request reset.
2. Submit a wrong or expired code.
3. Compare stored hash and login behavior.</t>
  </si>
  <si>
    <t>Quiz detail</t>
  </si>
  <si>
    <t>No verified-reset session state is set; UserDAO password remains unchanged and existing password still works.</t>
  </si>
  <si>
    <t>Existing account; controlled invalid/expired code.</t>
  </si>
  <si>
    <t>Question list</t>
  </si>
  <si>
    <t>IT-LOGIN-01</t>
  </si>
  <si>
    <t>Credentials integrate DAO lookup, BCrypt and session</t>
  </si>
  <si>
    <t>1. POST valid active Student credentials to /auth/login.
2. Follow redirect and inspect session.</t>
  </si>
  <si>
    <t>UserDAO finds the account, PasswordHashUtil verifies hash, and AuthServlet records currentUser/userRole in session before /home.</t>
  </si>
  <si>
    <t>Active Student with BCrypt password hash.</t>
  </si>
  <si>
    <t>Question detail</t>
  </si>
  <si>
    <t>IT-LOGIN-02</t>
  </si>
  <si>
    <t>Bad credentials or inactive user cannot create session</t>
  </si>
  <si>
    <t>1. POST wrong password; repeat for inactive account.
2. Request a protected /learn/* route.</t>
  </si>
  <si>
    <t>Login stays unauthenticated and protected route redirects to login.</t>
  </si>
  <si>
    <t>Active and inactive Student fixtures; protected URL.</t>
  </si>
  <si>
    <t>IT-GOOGLE-01</t>
  </si>
  <si>
    <t>OAuth start stores state and builds Google authorization URL</t>
  </si>
  <si>
    <t>1. GET /auth/oauth/google.
2. Inspect redirect URL and session state.</t>
  </si>
  <si>
    <t>OAuthServlet stores provider state; OAuthService builds Google URL with matching state, redirect URI and openid/email/profile scopes.</t>
  </si>
  <si>
    <t>Configured Google client ID, secret and callback URI.</t>
  </si>
  <si>
    <t>IT-GOOGLE-02</t>
  </si>
  <si>
    <t>New verified Google profile creates account and session</t>
  </si>
  <si>
    <t>1. Complete Google OAuth with new verified email.
2. Inspect user row and session after callback.</t>
  </si>
  <si>
    <t>OAuthService exchanges code, fetches verified profile, inserts one active Student with google_user_id; OAuthServlet sets currentUser and redirects home.</t>
  </si>
  <si>
    <t>Google test client or provider stub; ROLE_STUDENT setting; database query access.</t>
  </si>
  <si>
    <t>IT-GOOGLE-03</t>
  </si>
  <si>
    <t>Existing matching email is linked without duplicate user</t>
  </si>
  <si>
    <t>1. Seed active LearnHub user with verified Google email but no Google ID.
2. Complete callback.
3. Compare user count and provider ID.</t>
  </si>
  <si>
    <t>resolveAccount links google_user_id to the existing row; no duplicate account is inserted; session uses that user.</t>
  </si>
  <si>
    <t>Active existing user; verified Google profile; database query access.</t>
  </si>
  <si>
    <t>Sub total</t>
  </si>
  <si>
    <t>IT-GOOGLE-04</t>
  </si>
  <si>
    <t>Invalid state stops provider and database operations</t>
  </si>
  <si>
    <t>1. Begin Google OAuth.
2. Invoke callback with mismatched state.
3. Inspect provider-stub calls and user records.</t>
  </si>
  <si>
    <t>Callback rejects before fetchProfile/resolveAccount; no token exchange, account mutation or authenticated session occurs.</t>
  </si>
  <si>
    <t>Controlled callback/provider stub and database snapshot.</t>
  </si>
  <si>
    <t>IT-GOOGLE-05</t>
  </si>
  <si>
    <t>Unverified or inactive Google account is rejected</t>
  </si>
  <si>
    <t>1. Return email_verified=false; repeat with linked inactive user and verified email.
2. Inspect account/session state.</t>
  </si>
  <si>
    <t>Unverified profile is rejected before account resolution; inactive linked account is rejected before session creation; no new active login.</t>
  </si>
  <si>
    <t>Provider stub; inactive linked account fixture.</t>
  </si>
  <si>
    <t>Test coverage</t>
  </si>
  <si>
    <t>%</t>
  </si>
  <si>
    <t>Test successful coverage</t>
  </si>
  <si>
    <t>IT-HOME-01</t>
  </si>
  <si>
    <t>Guest Home combines public course and category data</t>
  </si>
  <si>
    <t>1. Seed active categories and public courses.
2. GET /home without a session.
3. Inspect rendered sections.</t>
  </si>
  <si>
    <t>HomeServlet obtains active categories and up to six public featured courses from services and forwards them to home.jsp.</t>
  </si>
  <si>
    <t>Guest; seeded category and course records.</t>
  </si>
  <si>
    <t>IT-HOME-02</t>
  </si>
  <si>
    <t>Empty repository results render the guest Home safely</t>
  </si>
  <si>
    <t>1. Use isolated empty active-category/public-course data.
2. GET /home.</t>
  </si>
  <si>
    <t>Service empty lists reach JSP; page renders its empty states instead of a server error.</t>
  </si>
  <si>
    <t>Isolated empty-data fixture; Guest.</t>
  </si>
  <si>
    <t>TC-ED-001</t>
  </si>
  <si>
    <t>Display the Expert dashboard correctly</t>
  </si>
  <si>
    <t>1. Log in as the Expert.
2. Open /expert/dashboard.
3. Check the cards and assigned-course table.</t>
  </si>
  <si>
    <t>Assigned courses are displayed with correct titles, categories, module counts, lesson counts and statuses. Manage Content is available for each course.</t>
  </si>
  <si>
    <t>The Expert has assigned courses with known data.</t>
  </si>
  <si>
    <t>TC-ED-002</t>
  </si>
  <si>
    <t>Search courses with a matching keyword</t>
  </si>
  <si>
    <t>1. Open the page containing Java Web.
2. Enter java in Search courses.
3. Clear the search field.</t>
  </si>
  <si>
    <t>Matching course-title rows remain visible. Clearing the field restores the current-page rows.</t>
  </si>
  <si>
    <t>Java Web is displayed on the current dashboard page.</t>
  </si>
  <si>
    <t>TC-ED-003</t>
  </si>
  <si>
    <t>Search courses with no matching keyword</t>
  </si>
  <si>
    <t>1. Open the dashboard.
2. Enter zzzz_no_match in Search courses.</t>
  </si>
  <si>
    <t>No current-page course rows are visible. The page remains usable.</t>
  </si>
  <si>
    <t>No displayed course title contains zzzz_no_match.</t>
  </si>
  <si>
    <t>TC-LM-001</t>
  </si>
  <si>
    <t>Display the lesson list correctly</t>
  </si>
  <si>
    <t>1. Open the dashboard.
2. Click Manage Content for C1.
3. Check the lesson table.</t>
  </si>
  <si>
    <t>Lesson List opens for C1. Columns #, Module, Lesson Title and Action show the correct lessons, with Edit and Delete actions.</t>
  </si>
  <si>
    <t>The Expert is logged in; C1 has modules and lessons.</t>
  </si>
  <si>
    <t>TC-LM-002</t>
  </si>
  <si>
    <t>Open the correct lesson for editing</t>
  </si>
  <si>
    <t>1. Open C1 Lesson List.
2. Click Edit for L1.</t>
  </si>
  <si>
    <t>Lesson Detail opens and displays the Module, Lesson Title, Content and Order Index belonging to L1.</t>
  </si>
  <si>
    <t>L1 exists in C1 with known values.</t>
  </si>
  <si>
    <t>TC-LM-003</t>
  </si>
  <si>
    <t>Open the create-lesson form</t>
  </si>
  <si>
    <t>1. Open C1 Lesson List.
2. Click Create Lesson.</t>
  </si>
  <si>
    <t>A new Lesson Detail form opens. Title and Content are empty; modules belong to C1; Order Index initially displays 1.</t>
  </si>
  <si>
    <t>The Expert is logged in; C1 has at least one module.</t>
  </si>
  <si>
    <t>TC-LM-004</t>
  </si>
  <si>
    <t>Delete a lesson after confirmation</t>
  </si>
  <si>
    <t>1. Open C1 Lesson List.
2. Click Delete for the disposable lesson.
3. Confirm deletion.
4. Refresh the list.</t>
  </si>
  <si>
    <t>The selected lesson disappears and remains absent after refresh. Other lessons remain unchanged.</t>
  </si>
  <si>
    <t>A disposable lesson exists in C1.</t>
  </si>
  <si>
    <t>TC-LM-005</t>
  </si>
  <si>
    <t>Cancel lesson deletion</t>
  </si>
  <si>
    <t>1. Open C1 Lesson List.
2. Click Delete for L1.
3. Choose Cancel in the confirmation dialog.
4. Refresh the list.</t>
  </si>
  <si>
    <t>L1 remains in the lesson list and is unchanged.</t>
  </si>
  <si>
    <t>L1 exists in C1.</t>
  </si>
  <si>
    <t>TC-LD-001</t>
  </si>
  <si>
    <t>Display existing lesson details correctly</t>
  </si>
  <si>
    <t>1. Open Edit for L1.
2. Check Module, Lesson Title, Content and Order Index.</t>
  </si>
  <si>
    <t>All four fields display the saved values of L1. Save, Cancel and Quay lại are visible.</t>
  </si>
  <si>
    <t>TC-LD-002</t>
  </si>
  <si>
    <t>Create a lesson with all required fields</t>
  </si>
  <si>
    <t>1. Open Create Lesson for C1.
2. Select M0.
3. Enter title=New Test Lesson, content=Test lesson content and Order Index=1.
4. Click Save.
5. Reopen the new lesson from the list.</t>
  </si>
  <si>
    <t>The new lesson appears under M0. Reopening shows the submitted title, content, module and order index.</t>
  </si>
  <si>
    <t>M0 belongs to C1; use a unique title for this run.</t>
  </si>
  <si>
    <t>TC-LD-003</t>
  </si>
  <si>
    <t>Save changes to an existing lesson</t>
  </si>
  <si>
    <t>1. Open Edit for L1.
2. Change the title and content; keep a valid module and Order Index.
3. Click Save.
4. Reopen L1 from the list.</t>
  </si>
  <si>
    <t>The updated values are displayed. The existing lesson is updated without creating a duplicate.</t>
  </si>
  <si>
    <t>L1 exists; record its original values before editing.</t>
  </si>
  <si>
    <t>TC-LD-004</t>
  </si>
  <si>
    <t>Leave Module unselected</t>
  </si>
  <si>
    <t>1. Open Create Lesson.
2. Leave Module at its placeholder.
3. Enter valid Title, Content and Order Index.
4. Click Save.</t>
  </si>
  <si>
    <t>Browser validation requires a Module. The form is not submitted and no lesson is created.</t>
  </si>
  <si>
    <t>Create form open; normal browser validation enabled.</t>
  </si>
  <si>
    <t>TC-LD-005</t>
  </si>
  <si>
    <t>Leave Lesson Title empty</t>
  </si>
  <si>
    <t>1. Open Create Lesson.
2. Select a valid Module and enter Content and Order Index.
3. Leave Lesson Title empty.
4. Click Save.</t>
  </si>
  <si>
    <t>Browser validation requires a Lesson Title. The form is not submitted and no lesson is created.</t>
  </si>
  <si>
    <t>TC-LD-006</t>
  </si>
  <si>
    <t>Leave Content empty</t>
  </si>
  <si>
    <t>1. Open Create Lesson.
2. Select a valid Module and enter Title and Order Index.
3. Leave Content empty.
4. Click Save.</t>
  </si>
  <si>
    <t>Browser validation requires Content. The form is not submitted and no lesson is created.</t>
  </si>
  <si>
    <t>TC-LD-007</t>
  </si>
  <si>
    <t>Update Order Index automatically when selecting a module</t>
  </si>
  <si>
    <t>1. Open Create Lesson.
2. Select empty M0.
3. Select M1 containing lesson indexes 1 and 3.
4. Select M0 again.</t>
  </si>
  <si>
    <t>Order Index becomes 1 for M0, 4 for M1, then 1 again for M0.</t>
  </si>
  <si>
    <t>M0 is empty; M1 indexes are 1 and 3. New lesson ID is blank.</t>
  </si>
  <si>
    <t>TC-LD-008</t>
  </si>
  <si>
    <t>Accept Order Index equal to 1</t>
  </si>
  <si>
    <t>1. Open Create Lesson and fill Module, Title and Content.
2. Set Order Index=1.
3. Click Save and reopen the lesson.</t>
  </si>
  <si>
    <t>Save succeeds. The lesson appears in the list and its Order Index is 1 when reopened.</t>
  </si>
  <si>
    <t>Valid required fields; use a disposable lesson title.</t>
  </si>
  <si>
    <t>TC-LD-009</t>
  </si>
  <si>
    <t>Reject zero and negative Order Index values</t>
  </si>
  <si>
    <t>1. Open Create Lesson and fill all required fields.
2. Set Order Index=0 and click Save.
3. Repeat with Order Index=-1.</t>
  </si>
  <si>
    <t>Browser min=1 validation blocks both submissions. No lesson is created by either attempt.</t>
  </si>
  <si>
    <t>Normal browser validation enabled. Test the two values separately.</t>
  </si>
  <si>
    <t>TC-LD-010</t>
  </si>
  <si>
    <t>Use the default when Order Index is blank</t>
  </si>
  <si>
    <t>1. Open Create Lesson and fill Module, Title and Content.
2. Clear Order Index.
3. Click Save and reopen the lesson.</t>
  </si>
  <si>
    <t>Save succeeds. The saved Order Index is 1 because the servlet defaults a blank value to 1.</t>
  </si>
  <si>
    <t>Valid required fields; Order Index is optional in the current form.</t>
  </si>
  <si>
    <t>Admin dashboard &amp; Course Lists &amp; details</t>
  </si>
  <si>
    <t>Admin Dashboard</t>
  </si>
  <si>
    <t>TC-AD-001</t>
  </si>
  <si>
    <t>Display the Admin Dashboard correctly</t>
  </si>
  <si>
    <t>1. Log in as Admin.
2. Navigate to /admin/users.
3. Check headers, rows, and pagination.</t>
  </si>
  <si>
    <t>User list displays columns: Account/Username, Email, Role, Status, and Action ("Edit"). Role badges, status badges, and action buttons render correctly.</t>
  </si>
  <si>
    <t>Admin/Manager account exists and is logged in.</t>
  </si>
  <si>
    <t>TC-AD-002</t>
  </si>
  <si>
    <t>Restrict access to Admin Dashboard for unauthenticated user (Guest)</t>
  </si>
  <si>
    <t>1. Open the page containing Java Web.
2. Enter java in Search courses.
3. Clear the search field.1. Ensure user is not logged in.
2. Attempt to open /admin/dashboard directly in browse</t>
  </si>
  <si>
    <t>The system redirects user to /auth/login?redirect_uri=/admin/dashboard. No dashboard data is exposed.</t>
  </si>
  <si>
    <t>User is logged out (clear session/cookies).</t>
  </si>
  <si>
    <t>TC-AD-003</t>
  </si>
  <si>
    <t>Filter metrics by Date Range</t>
  </si>
  <si>
    <t>1. Open /admin/dashboard.
2. Select "Last 7 Days" from the Date Range dropdown.</t>
  </si>
  <si>
    <t>The page submits with ?dateRange=week and metric cards update to reflect activities from the last 7 days.</t>
  </si>
  <si>
    <t>Admin is logged in.</t>
  </si>
  <si>
    <t>TC-AD-004</t>
  </si>
  <si>
    <t>Navigate to User Management from metric card</t>
  </si>
  <si>
    <t>1. Open /admin/dashboard.
2. Click the "TOTAL USERS" metric card.</t>
  </si>
  <si>
    <t>Browser navigates to /admin/users (User Management screen).</t>
  </si>
  <si>
    <t>User List</t>
  </si>
  <si>
    <t>TC-UL-001</t>
  </si>
  <si>
    <t>Display User List with table and pagination</t>
  </si>
  <si>
    <t>1. Log in as Admin.
2. Open /admin/users.
3. Check table columns, user rows, and pagination controls.</t>
  </si>
  <si>
    <t>Admin is logged in; users exist in DB.</t>
  </si>
  <si>
    <t>TC-UL-002</t>
  </si>
  <si>
    <t>Search users by keyword</t>
  </si>
  <si>
    <t>1. Open /admin/users.
2. Enter a keyword (e.g. admin) in the search box.
3. Click "Filter".</t>
  </si>
  <si>
    <t>The table filters and displays only users whose username or email contains the keyword.</t>
  </si>
  <si>
    <t>Admin is logged in; matching users exist in DB.</t>
  </si>
  <si>
    <t>TC-UL-003</t>
  </si>
  <si>
    <t>Filter users by Role and Status</t>
  </si>
  <si>
    <t>1. Open /admin/users.
2. Select a Role and choose Status "Active".
3. Click "Filter".</t>
  </si>
  <si>
    <t>Only users matching both the selected role and active status are shown (AND condition). URL retains query parameters.</t>
  </si>
  <si>
    <t>TC-UL-004</t>
  </si>
  <si>
    <t>Search with non-matching keyword</t>
  </si>
  <si>
    <t>1. Open /admin/users.
2. Enter zzzz_no_match_user in the search box.
3. Click "Filter".</t>
  </si>
  <si>
    <t>Table displays empty state: "No matching users found" with a link to reset filters. No rows are displayed.</t>
  </si>
  <si>
    <t>No user matches the keyword.</t>
  </si>
  <si>
    <t>TC-UL-005</t>
  </si>
  <si>
    <t>Navigate to User Detail via 'Edit' button</t>
  </si>
  <si>
    <t>1. Open /admin/user-detail?id={valid_userId}.
2. Check page title and all input fields.</t>
  </si>
  <si>
    <t>Browser opens /admin/user-detail?id={U1.id} with U1's details pre-filled in the form.</t>
  </si>
  <si>
    <t>User U1 exists in DB.</t>
  </si>
  <si>
    <t>User Details</t>
  </si>
  <si>
    <t>TC-UD-001</t>
  </si>
  <si>
    <t>Display existing user details correctly</t>
  </si>
  <si>
    <t>1. Open /admin/user-detail?id={valid_userId}.
2. Check page title and all input fields..</t>
  </si>
  <si>
    <t>Page displays "Update User". Username, Email, Role, and Status fields show current values. Password field is blank for optional password update</t>
  </si>
  <si>
    <t>User exists in DB with known data.</t>
  </si>
  <si>
    <t>TC-UD-002</t>
  </si>
  <si>
    <t>Update user profile information successfully</t>
  </si>
  <si>
    <t>1. Open /admin/user-detail?id={valid_userId}.
2. Modify username, valid email, and role.
3. Click "Save".
4. Reopen the user from /admin/users.</t>
  </si>
  <si>
    <t>System saves changes to database and redirects with success indicator. The updated values are displayed correctly.</t>
  </si>
  <si>
    <t>User exists in DB; new email is not a duplicate.</t>
  </si>
  <si>
    <t>TC-UD-003</t>
  </si>
  <si>
    <t>Reject form submission when required fields are empty</t>
  </si>
  <si>
    <t>1. Open /admin/user-detail?id={valid_userId}.
2. Clear the Username or Email field.
3. Click "Save".</t>
  </si>
  <si>
    <t>HTML5 browser validation prevents form submission and prompts user to fill out the required field. No update request is sent to DB.</t>
  </si>
  <si>
    <t>User detail form open; browser validation enabled.</t>
  </si>
  <si>
    <t>TC-UD-004</t>
  </si>
  <si>
    <t>Update user status between Active and Inactive</t>
  </si>
  <si>
    <t>1. Open /admin/user-detail?id={valid_userId} of an active user.
2. Change Status dropdown to "Inactive".
3. Click "Save".
4. Check user in /admin/users.</t>
  </si>
  <si>
    <t>User status updates to inactive in DB. User List displays the Inactive badge for this user.</t>
  </si>
  <si>
    <t>User exists with active status.</t>
  </si>
  <si>
    <t>TC-UD-005</t>
  </si>
  <si>
    <t>Cancel editing and return to User List</t>
  </si>
  <si>
    <t>1. Open /admin/user-detail?id={valid_userId}.
2. Modify form fields.
3. Click "Cancel".</t>
  </si>
  <si>
    <t>Browser navigates back to /admin/users without saving any changes to DB.</t>
  </si>
  <si>
    <t>User exists in DB.</t>
  </si>
  <si>
    <t>Course Browsing &amp; Registration</t>
  </si>
  <si>
    <t>Verify the course list (/courses), course details, and course registration checkout (/enrollment).</t>
  </si>
  <si>
    <t>Public Course List (/courses)</t>
  </si>
  <si>
    <t>TC-PCL-01</t>
  </si>
  <si>
    <t>View the default course list</t>
  </si>
  <si>
    <t>1. Open a browser.
2. Go to http://localhost:8080/learnhub/courses.</t>
  </si>
  <si>
    <t>The page displays the title, search field, category dropdown, and all 8 published courses. Draft Course 9 (Pentest) is not displayed.</t>
  </si>
  <si>
    <t>Run seed.sql. The database contains 8 published courses and 1 draft course.</t>
  </si>
  <si>
    <t>HuyLDA</t>
  </si>
  <si>
    <t>All 8 course cards are displayed correctly.</t>
  </si>
  <si>
    <t>TC-PCL-02</t>
  </si>
  <si>
    <t>Search for courses by keyword</t>
  </si>
  <si>
    <t>1. Enter Java in the search field.
2. Click the search button.</t>
  </si>
  <si>
    <t>Only the advanced Java Web course covering Jakarta EE, Servlet, JSP, and MVC is displayed. The search field retains Java.</t>
  </si>
  <si>
    <t>Test data: keyword = "Java".</t>
  </si>
  <si>
    <t>The LIKE query in CourseDAO works correctly.</t>
  </si>
  <si>
    <t>TC-PCL-03</t>
  </si>
  <si>
    <t>Search with a keyword that has no matches</t>
  </si>
  <si>
    <t>1. Enter XYZ9999 in the search field.
2. Click the search button.</t>
  </si>
  <si>
    <t>A message indicates that no matching courses were found. No blank page or HTTP 500 error occurs.</t>
  </si>
  <si>
    <t>Test data: keyword = "XYZ9999".</t>
  </si>
  <si>
    <t>The empty state is displayed correctly.</t>
  </si>
  <si>
    <t>TC-PCL-04</t>
  </si>
  <si>
    <t>Filter courses by category</t>
  </si>
  <si>
    <t>1. Select the database and SQL category in the category dropdown.
2. Click the search button.</t>
  </si>
  <si>
    <t>Only the PostgreSQL course covering database design and query optimization is displayed. The selected category is retained.</t>
  </si>
  <si>
    <t>Test data: categoryId = b0000000-0000-0000-0000-000000000002 (database).</t>
  </si>
  <si>
    <t>The categoryId parameter is mapped correctly.</t>
  </si>
  <si>
    <t>TC-PCL-05</t>
  </si>
  <si>
    <t>Reset the search filters</t>
  </si>
  <si>
    <t>1. Open the course list with active search filters.
2. Click the reset button.</t>
  </si>
  <si>
    <t>The URL returns to /courses. The search field is cleared, the category returns to all categories, and all 8 published courses are displayed.</t>
  </si>
  <si>
    <t>Search parameters are present in the URL.</t>
  </si>
  <si>
    <t>The reset link works correctly.</t>
  </si>
  <si>
    <t>TC-PCL-06</t>
  </si>
  <si>
    <t>Navigate between pages of courses</t>
  </si>
  <si>
    <t>1. Go to /courses.
2. Check the pagination controls below the course list.
3. Click another page number when available.</t>
  </si>
  <si>
    <t>When the published course count exceeds pageSize (currently 9), page buttons appear and selecting a page displays its courses.</t>
  </si>
  <si>
    <t>The seed database contains 8 published courses, fewer than pageSize (9).</t>
  </si>
  <si>
    <t>Pending: add published courses or set pageSize to 6 to make a second page available.</t>
  </si>
  <si>
    <t>Public Course Detail (/courses?action=detail&amp;id=...)</t>
  </si>
  <si>
    <t>TC-PCD-01</t>
  </si>
  <si>
    <t>View details of a valid course</t>
  </si>
  <si>
    <t>1. Select the Java Web course from the home page or course list.</t>
  </si>
  <si>
    <t>The browser opens /courses?action=detail&amp;id=d0000000-0000-0000-0000-000000000001. The page shows a price of VND 699,000, 3 modules, 7 lessons, and instructor expert.</t>
  </si>
  <si>
    <t>The Java Web course exists in the database.</t>
  </si>
  <si>
    <t>The complete curriculum is displayed.</t>
  </si>
  <si>
    <t>TC-PCD-02</t>
  </si>
  <si>
    <t>Open course details with a nonexistent ID</t>
  </si>
  <si>
    <t>1. Go to /courses?action=detail&amp;id=00000000-0000-0000-0000-000000000099.</t>
  </si>
  <si>
    <t>The system handles the missing course safely and redirects to /courses without a server crash.</t>
  </si>
  <si>
    <t>The specified course ID does not exist in the database.</t>
  </si>
  <si>
    <t>The servlet handles the null result and redirects safely.</t>
  </si>
  <si>
    <t>TC-PCD-03</t>
  </si>
  <si>
    <t>Expand and collapse curriculum modules</t>
  </si>
  <si>
    <t>1. Open the course curriculum section.
2. Click the headers of Module 1 and Module 2 to expand and collapse them.</t>
  </si>
  <si>
    <t>The lesson lists expand and collapse smoothly. Each arrow changes orientation to match the module state.</t>
  </si>
  <si>
    <t>The course contains modules.</t>
  </si>
  <si>
    <t>The JavaScript toggle works correctly.</t>
  </si>
  <si>
    <t>TC-PCD-04</t>
  </si>
  <si>
    <t>Register for a course as a guest</t>
  </si>
  <si>
    <t>1. Use a browser session without signing in.
2. Open the details of Course 1.
3. Click the course registration button.</t>
  </si>
  <si>
    <t>The browser redirects to /auth/login?error=must_login&amp;redirect_uri=.... The return URL is retained for navigation after login.</t>
  </si>
  <si>
    <t>No user is signed in. The session has no authenticated user.</t>
  </si>
  <si>
    <t>The login redirect flow works correctly.</t>
  </si>
  <si>
    <t>TC-PCD-05</t>
  </si>
  <si>
    <t>View the course action after purchasing</t>
  </si>
  <si>
    <t>1. Sign in with student / 123456.
2. Open the details of Course 1 (Java Web).
3. Click the start learning button.</t>
  </si>
  <si>
    <t>A green start learning button is displayed. Clicking it opens /learning-process?courseId=....</t>
  </si>
  <si>
    <t>The student account has a paid record for Course 1 in the registration table.</t>
  </si>
  <si>
    <t>The paid-status check was fixed previously and works correctly.</t>
  </si>
  <si>
    <t>TC-PCD-06</t>
  </si>
  <si>
    <t>View the course action before purchasing</t>
  </si>
  <si>
    <t>1. Sign in with student / 123456.
2. Open the details of Course 3 (Spring Boot 3).
3. Click the course registration button.</t>
  </si>
  <si>
    <t>A course registration button is displayed. Clicking it opens /enrollment?courseId=d0000000-0000-0000-0000-000000000003.</t>
  </si>
  <si>
    <t>The student account has not purchased Course 3.</t>
  </si>
  <si>
    <t>Navigation to checkout works correctly.</t>
  </si>
  <si>
    <t>Course Checkout (/enrollment?courseId=...)</t>
  </si>
  <si>
    <t>TC-CHK-01</t>
  </si>
  <si>
    <t>Block guest access to checkout</t>
  </si>
  <si>
    <t>1. Use a browser session without signing in.
2. Go to /enrollment?courseId=d0000000-0000-0000-0000-000000000002.</t>
  </si>
  <si>
    <t>Access is blocked and the browser redirects to the login page at /auth/login?error=must_login....</t>
  </si>
  <si>
    <t>No user is signed in (guest access).</t>
  </si>
  <si>
    <t>Access is blocked by the servlet filter or session check.</t>
  </si>
  <si>
    <t>TC-CHK-02</t>
  </si>
  <si>
    <t>Block checkout for non-student accounts</t>
  </si>
  <si>
    <t>1. Sign in with admin / 123456 or an expert account.
2. Open /enrollment?courseId=... for a course.</t>
  </si>
  <si>
    <t>A yellow warning states that the current account is not a student account. Payment form submission is blocked.</t>
  </si>
  <si>
    <t>An administrator or expert is signed in.</t>
  </si>
  <si>
    <t>Role validation works correctly.</t>
  </si>
  <si>
    <t>TC-CHK-03</t>
  </si>
  <si>
    <t>Display the student's order information</t>
  </si>
  <si>
    <t>1. Sign in with student / 123456.
2. Open checkout for Course 3 (Spring Boot 3).</t>
  </si>
  <si>
    <t>The order shows username student, email student@learnhub.com, the course name, a price of VND 890,000, and a total of VND 890,000.</t>
  </si>
  <si>
    <t>A valid student is signed in. The selected course requires payment.</t>
  </si>
  <si>
    <t>Data is bound to the JSP correctly.</t>
  </si>
  <si>
    <t>TC-CHK-04</t>
  </si>
  <si>
    <t>Display VNPay and SePay payment methods</t>
  </si>
  <si>
    <t>1. Open checkout for Course 3.
2. Inspect the payment method section.</t>
  </si>
  <si>
    <t>Exactly two payment cards are displayed: VNPAY-QR and SEPAY / VIETQR. No other payment methods are shown.</t>
  </si>
  <si>
    <t>The selected course requires payment.</t>
  </si>
  <si>
    <t>The service correctly returns the two supported gateways.</t>
  </si>
  <si>
    <t>TC-CHK-05</t>
  </si>
  <si>
    <t>Switch between payment gateways</t>
  </si>
  <si>
    <t>1. Select the VNPay payment card.
2. Select the SePay payment card.</t>
  </si>
  <si>
    <t>The radio button reflects the selected gateway. The selected card has a dark blue border (border-brand-700).</t>
  </si>
  <si>
    <t>The checkout page is open.</t>
  </si>
  <si>
    <t>The JavaScript change event updates the card styles correctly.</t>
  </si>
  <si>
    <t>TC-CHK-06</t>
  </si>
  <si>
    <t>Return from checkout to course details</t>
  </si>
  <si>
    <t>1. Open the checkout page.
2. Click the link to return to course details.</t>
  </si>
  <si>
    <t>The browser opens /courses?action=detail&amp;id=... for the current course.</t>
  </si>
  <si>
    <t>The link points to the correct course detail URL.</t>
  </si>
  <si>
    <t>TC-CHK-07</t>
  </si>
  <si>
    <t>Register for a free course</t>
  </si>
  <si>
    <t>1. Open checkout for a course priced at VND 0.
2. Click the registration confirmation button.</t>
  </si>
  <si>
    <t>The checkout section displays a free-course badge. No payment gateway is required, and immediate enrollment is allowed.</t>
  </si>
  <si>
    <t>The JSP/servlet has a price &lt;= 0 branch, but the database currently has no free course.</t>
  </si>
  <si>
    <t>Pending: add a sample free course to seed.sql before executing this test.</t>
  </si>
  <si>
    <t>TC-CHK-08</t>
  </si>
  <si>
    <t>Continue to an online payment gateway</t>
  </si>
  <si>
    <t>1. Select VNPay or SePay.
2. Click the payment confirmation button.</t>
  </si>
  <si>
    <t>The system redirects to VNPay Sandbox or displays a dynamic SePay VietQR code for payment.</t>
  </si>
  <si>
    <t>VNPay Sandbox SDK/API and SePay webhook integration are not yet implemented. Submission currently saves a pending registration and returns to the dashboard.</t>
  </si>
  <si>
    <t>Pending: VNPay Sandbox API and SePay webhook integration are planned for the next sprint.</t>
  </si>
  <si>
    <t>TC-CHK-09</t>
  </si>
  <si>
    <t>Submit checkout with an empty phone number</t>
  </si>
  <si>
    <t>1. Sign in as student.
2. Open the checkout page for a course.
3. Leave the contact phone number empty.
4. Click the payment confirmation button.</t>
  </si>
  <si>
    <t>Form submission is blocked. The phone field has a red border, an error requests a contact phone number, and focus moves to the phone field.</t>
  </si>
  <si>
    <t>The contact phone field is empty (phone = "").</t>
  </si>
  <si>
    <t>Submission is blocked by both client-side JavaScript and the servlet.</t>
  </si>
  <si>
    <t>TC-CHK-10</t>
  </si>
  <si>
    <t>Enter letters or special characters in the phone field</t>
  </si>
  <si>
    <t>1. Focus the contact phone field.
2. Type letters, such as ytrthrgrhtherth, or special characters, such as @#$%.</t>
  </si>
  <si>
    <t>Non-digit characters are removed immediately. Only numeric characters remain in the field.</t>
  </si>
  <si>
    <t>Test data: ytrthrgrhtherth and @#$%.</t>
  </si>
  <si>
    <t>The input event applies the [^0-9] regular expression.</t>
  </si>
  <si>
    <t>Quiz &amp; Question Management</t>
  </si>
  <si>
    <t>Kiểm thử toàn bộ chức năng quản lý Quiz và Question của Expert, bao gồm xem danh sách, tìm kiếm/lọc, tạo, sửa, xóa Quiz; tạo, sửa, xóa Question; quản lý Answer Options; validation dữ liệu; lựa chọn Question cho Quiz và kiểm tra quyền truy cập.</t>
  </si>
  <si>
    <t>Quiz List</t>
  </si>
  <si>
    <t>TC-QM-QL-001</t>
  </si>
  <si>
    <t>Display the Quiz List correctly</t>
  </si>
  <si>
    <t>1. Login with an Expert account.
2. Open Expert Dashboard.
3. Select a course assigned to the Expert.
4. Click Quiz in the management sidebar.
5. Observe the Quiz List.</t>
  </si>
  <si>
    <t>Quiz List is displayed successfully.
Each quiz row shows:
- No.
- Module
- Quiz Title
- Questions
- Time
- Pass Score
- Edit
- Delete
The seeded quizzes belonging to the selected course are displayed correctly.</t>
  </si>
  <si>
    <t xml:space="preserve">Expert account is logged in.
The Expert has at least one assigned course containing quizzes.
Database is seeded.
</t>
  </si>
  <si>
    <t>TC-QM-QL-002</t>
  </si>
  <si>
    <t>Verify quiz information displayed in the list</t>
  </si>
  <si>
    <t>1. Open Quiz List.
2. Locate the seeded quiz "Quiz Ôn tập: Vòng đời Servlet &amp; Xử lý HTTP Request".
3. Check its Module, Questions, Time and Pass Score.</t>
  </si>
  <si>
    <t>The quiz is displayed under the correct module.
Questions = 3.
Time = 15 min.
Pass Score = 5.0.
The displayed information matches the database.</t>
  </si>
  <si>
    <t>Seed data is loaded.
Quiz ID 10000000-0000-0000-0000-000000000001 exists.</t>
  </si>
  <si>
    <t>TC-QM-QL-003</t>
  </si>
  <si>
    <t>Search quizzes using a matching keyword</t>
  </si>
  <si>
    <t>1. Open Quiz List.
2. Enter "Servlet" into Search quiz.
3. Click Search.</t>
  </si>
  <si>
    <t>Only quizzes whose title contains "Servlet" are displayed.
The matching quiz "Quiz Ôn tập: Vòng đời Servlet &amp; Xử lý HTTP Request" is displayed.
The keyword remains in the search input.</t>
  </si>
  <si>
    <t>At least one quiz title contains "Servlet".</t>
  </si>
  <si>
    <t>TC-QM-QL-004</t>
  </si>
  <si>
    <t>Search quizzes using a non-existing keyword</t>
  </si>
  <si>
    <t>1. Open Quiz List.
2. Enter "XYZ9999" into Search quiz.
3. Click Search.</t>
  </si>
  <si>
    <t>No matching quiz is displayed.
The page remains usable.
No HTTP 500 error occurs.
The empty-list message is displayed.</t>
  </si>
  <si>
    <t>No quiz title contains "XYZ9999".</t>
  </si>
  <si>
    <t>TC-QM-QL-005</t>
  </si>
  <si>
    <t>Filter quizzes by module</t>
  </si>
  <si>
    <t>1. Open Quiz List.
2. Select "Chương 1: Tổng quan HTTP &amp; Vòng đời Servlet".
3. Click Search.</t>
  </si>
  <si>
    <t>Only quizzes belonging to the selected module are displayed.
Quiz belonging to other modules is not displayed.
The selected module remains selected after searching.</t>
  </si>
  <si>
    <t>The selected course has multiple modules.
At least one quiz belongs to the selected module.</t>
  </si>
  <si>
    <t>TC-QM-QL-006</t>
  </si>
  <si>
    <t>Search quizzes using both keyword and module filter</t>
  </si>
  <si>
    <t>1. Enter "Quiz" in Search quiz.
2. Select a specific module.
3. Click Search.</t>
  </si>
  <si>
    <t>Only quizzes satisfying both conditions are displayed:
- title matches the keyword;
- quiz belongs to the selected module.</t>
  </si>
  <si>
    <t>Expert account is logged in.
The selected course contains multiple modules and quizzes.
At least one quiz satisfies both the selected module and search keyword.</t>
  </si>
  <si>
    <t>TC-QM-QL-010</t>
  </si>
  <si>
    <t>Delete a quiz after confirmation</t>
  </si>
  <si>
    <t>1. Open Quiz List.
2. Click Delete on a disposable quiz.
3. Confirm the deletion.
4. Refresh the Quiz List.</t>
  </si>
  <si>
    <t>The quiz is removed from the list.
The quiz remains absent after refresh.
Other quizzes are unchanged.</t>
  </si>
  <si>
    <t>A disposable quiz exists.
The quiz is not referenced by data that prevents deletion.</t>
  </si>
  <si>
    <t>Quiz Detail</t>
  </si>
  <si>
    <t>TC-QM-QD-001</t>
  </si>
  <si>
    <t>Display existing quiz details correctly</t>
  </si>
  <si>
    <t>1. Open Quiz List.
2. Click Edit for Quiz 1.
3. Check all fields.</t>
  </si>
  <si>
    <t>Quiz Detail displays the saved information of Quiz 1:
- Quiz Name
- Module
- Time Limit
- Pass Score
- Selected Questions
All values match the database.</t>
  </si>
  <si>
    <t>Expert account is logged in.
An existing quiz belongs to a course accessible by the Expert.
The quiz contains valid saved data.</t>
  </si>
  <si>
    <t>TC-QM-QD-002</t>
  </si>
  <si>
    <t>Create a quiz with valid information</t>
  </si>
  <si>
    <t>1. Open Create Quiz.
2. Enter Quiz Name = "Integration Test Quiz".
3. Select Module 1.
4. Enter Time Limit = 15.
5. Enter Pass Score = 5.0.
6. Select Question 1.
7. Select Question 2.
8. Click Save Quiz.</t>
  </si>
  <si>
    <t>Quiz is saved successfully.
The system redirects to Quiz List.
"Quiz saved successfully." is displayed.
The new quiz appears in the list.
Question count is 2.</t>
  </si>
  <si>
    <t>Expert owns the selected module.
At least two questions exist in Question Bank.
Use a disposable quiz name.</t>
  </si>
  <si>
    <t>TC-QM-QD-003</t>
  </si>
  <si>
    <t>Validate empty Quiz Name</t>
  </si>
  <si>
    <t>1. Open Create Quiz.
2. Leave Quiz Name empty.
3. Select a valid Module.
4. Enter valid Time Limit and Pass Score.
5. Click Save Quiz.</t>
  </si>
  <si>
    <t>Browser validation prevents form submission.
The quiz is not created.</t>
  </si>
  <si>
    <t>Expert account is logged in.
The Create Quiz form is displayed.
A valid module, time limit and pass score can be entered.</t>
  </si>
  <si>
    <t>Question List</t>
  </si>
  <si>
    <t xml:space="preserve">TC-QM-QLIST-001
</t>
  </si>
  <si>
    <t>Display the Question List correctly</t>
  </si>
  <si>
    <t>1. Login as Expert.
2. Open Question Bank.
3. Observe the question table.</t>
  </si>
  <si>
    <t>Question List is displayed successfully.
Each row shows:
- No.
- Question
- Type
- Options
- Edit
- Delete.
Seeded questions are displayed.</t>
  </si>
  <si>
    <t>Expert account is logged in.
The Expert has access to the Question Bank.
At least one question exists in the database.</t>
  </si>
  <si>
    <t>TC-QM-QLIST-002</t>
  </si>
  <si>
    <t>Search questions using a matching keyword</t>
  </si>
  <si>
    <t>1. Enter "Servlet" into Search question content.
2. Click Search.</t>
  </si>
  <si>
    <t>Only questions containing "Servlet" are displayed.
Non-matching questions are hidden.
The keyword remains in the search field.</t>
  </si>
  <si>
    <t>Expert account is logged in.
The Question List is accessible.
At least one question contains the keyword "Servlet".</t>
  </si>
  <si>
    <t>TC-QM-QLIST-003</t>
  </si>
  <si>
    <t>Search questions with no matching result</t>
  </si>
  <si>
    <t>1. Enter "XYZ9999" into Search question content.
2. Click Search.</t>
  </si>
  <si>
    <t>No question is displayed.
"No questions found." is displayed.
No HTTP 500 error occurs.</t>
  </si>
  <si>
    <t>Expert account is logged in.
The Question List is accessible.
No question content contains "XYZ9999".</t>
  </si>
  <si>
    <t>TC-QM-QLIST-004</t>
  </si>
  <si>
    <t>Filter questions by Single Choice type</t>
  </si>
  <si>
    <t>1. Open Question List.
2. Select "Single choice".
3. Click Search.</t>
  </si>
  <si>
    <t>Only questions with type "single_choice" are displayed.
Questions of other types are not displayed.</t>
  </si>
  <si>
    <t>Expert account is logged in.
The Question List is accessible.
At least one Single Choice question exists.</t>
  </si>
  <si>
    <t>TC-QM-QLIST-008</t>
  </si>
  <si>
    <t>Open Create Question</t>
  </si>
  <si>
    <t>1. Open Question List.
2. Click Create Question.</t>
  </si>
  <si>
    <t>Question Detail - Create is displayed.
Question Content is empty.
Question Type defaults to Single Choice.
Two initial answer-option rows are displayed.
No existing question data is loaded.</t>
  </si>
  <si>
    <t>Expert account is logged in.
The Expert has permission to create questions.
The Question List is accessible.</t>
  </si>
  <si>
    <t>Question Detail</t>
  </si>
  <si>
    <t>TC-QM-QDETAIL-001</t>
  </si>
  <si>
    <t>Display existing question details correctly</t>
  </si>
  <si>
    <t>1. Open Question List.
2. Click Edit for Question 1.
3. Check Question Content.
4. Check Question Type.
5. Check all Answer Options.
6. Check the correct answer.</t>
  </si>
  <si>
    <t>All saved question information is displayed correctly.
Question 1 is Single Choice.
Four answer options are displayed.
Only "init(ServletConfig config)" is marked as correct.</t>
  </si>
  <si>
    <t>Expert account is logged in.
An existing question is available.
The question has saved answer options and a correct answer.</t>
  </si>
  <si>
    <t>TC-QM-QDETAIL-002</t>
  </si>
  <si>
    <t>Create a valid Single Choice question</t>
  </si>
  <si>
    <t>1. Open Create Question.
2. Enter Question Content = "Integration Test Single Choice Question".
3. Select Single Choice.
4. Enter four options:
   A = Option A
   B = Option B
   C = Option C
   D = Option D
5. Select Option A as correct.
6. Click Save Question.</t>
  </si>
  <si>
    <t>Question is saved successfully.
The system redirects to Question List.
The new question appears in the list.
Type = single_choice.
There are 4 options.
Exactly one option is marked correct.</t>
  </si>
  <si>
    <t>Expert account is logged in.
The Expert has permission to create questions.
The Question Detail creation form is accessible.</t>
  </si>
  <si>
    <t>TC-QM-QDETAIL-003</t>
  </si>
  <si>
    <t>Create a valid Multiple Choice question</t>
  </si>
  <si>
    <t>1. Open Create Question.
2. Enter valid Question Content.
3. Select Multiple Choice.
4. Enter four options.
5. Select Option A and Option C as correct.
6. Click Save Question.</t>
  </si>
  <si>
    <t>Question is saved successfully.
Type = multiple_choice.
Multiple correct answers are stored.
Option A and Option C are marked correct.</t>
  </si>
  <si>
    <t>TC-QM-QDETAIL-004</t>
  </si>
  <si>
    <t>Create a Text question</t>
  </si>
  <si>
    <t>1. Open Create Question.
2. Enter valid Question Content.
3. Select Text.
4. Click Save Question.</t>
  </si>
  <si>
    <t>Question is saved successfully.
Question type = text.
Answer Options section is hidden.
No answer option is required.</t>
  </si>
  <si>
    <t>TC-QM-QDETAIL-005</t>
  </si>
  <si>
    <t>Validate empty Question Content</t>
  </si>
  <si>
    <t>1. Open Create Question.
2. Leave Question Content empty.
3. Fill other required fields.
4. Click Save Question.</t>
  </si>
  <si>
    <t>Browser validation requires Question Content.
The form is not submitted.
No question is created.</t>
  </si>
  <si>
    <t>Expert account is logged in.
The Question Detail creation form is accessible.</t>
  </si>
  <si>
    <t>Scenario Name</t>
  </si>
  <si>
    <t>Role / Session</t>
  </si>
  <si>
    <t>Coverage Technique</t>
  </si>
  <si>
    <t>Given</t>
  </si>
  <si>
    <t>When</t>
  </si>
  <si>
    <t>Then (Expected: HTTP Status / Visibility)</t>
  </si>
  <si>
    <t>Status</t>
  </si>
  <si>
    <t>Defect ID</t>
  </si>
  <si>
    <t>TC-SEC-001</t>
  </si>
  <si>
    <t>Internal note KHÔNG hiển thị cho Customer</t>
  </si>
  <si>
    <t>Customer (own order)</t>
  </si>
  <si>
    <t>Use Case Testing</t>
  </si>
  <si>
    <t>Order có internal note từ Staff</t>
  </si>
  <si>
    <t>GET /orders/{id} với session Customer</t>
  </si>
  <si>
    <t>HTML response KHÔNG chứa nội dung note ở bất kỳ đâu (kiểm tra page source, không chỉ UI)</t>
  </si>
  <si>
    <t>Not Run</t>
  </si>
  <si>
    <t>TC-SEC-002</t>
  </si>
  <si>
    <t>Staff chỉ truy cập đơn được assign</t>
  </si>
  <si>
    <t>Staff (not assigned)</t>
  </si>
  <si>
    <t>Order id=2 được assign cho Staff khác</t>
  </si>
  <si>
    <t>GET /staff/orders/2 với session staff_02</t>
  </si>
  <si>
    <t>HTTP 403 Forbidden</t>
  </si>
  <si>
    <t>TC-SEC-003</t>
  </si>
  <si>
    <t>Unauthenticated request đến protected URL</t>
  </si>
  <si>
    <t>(không có session)</t>
  </si>
  <si>
    <t>Error Guessing</t>
  </si>
  <si>
    <t>Không có session/cookie</t>
  </si>
  <si>
    <t>GET /staff/orders</t>
  </si>
  <si>
    <t>302 redirect đến /login</t>
  </si>
  <si>
    <t>TC-SEC-004</t>
  </si>
  <si>
    <t>Sai email/password → thông báo lỗi giống nhau</t>
  </si>
  <si>
    <t>(no session)</t>
  </si>
  <si>
    <t>Decision Table</t>
  </si>
  <si>
    <t>Không có account với email "x@y.com"</t>
  </si>
  <si>
    <t>POST /login với email không tồn tại / password sai</t>
  </si>
  <si>
    <t>Thông báo lỗi giống hệt nhau cho cả 2 trường hợp — không tiết lộ email tồn tại hay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</si>
</sst>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"/>
    <numFmt numFmtId="165" formatCode="mm/dd/yyyy"/>
    <numFmt numFmtId="166" formatCode="yyyy\-mm\-dd"/>
  </numFmts>
  <fonts count="29" x14ac:knownFonts="1">
    <font>
      <sz val="11"/>
      <color rgb="FF000000"/>
      <name val="MS PGothic"/>
      <scheme val="minor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20"/>
      <color rgb="FF000000"/>
      <name val="Tahoma"/>
      <family val="2"/>
    </font>
    <font>
      <b/>
      <sz val="10"/>
      <color theme="1"/>
      <name val="Tahoma"/>
      <family val="2"/>
    </font>
    <font>
      <sz val="11"/>
      <name val="MS PGothic"/>
      <family val="2"/>
    </font>
    <font>
      <b/>
      <sz val="10"/>
      <color rgb="FF000000"/>
      <name val="Tahoma"/>
      <family val="2"/>
    </font>
    <font>
      <i/>
      <sz val="10"/>
      <color rgb="FF008000"/>
      <name val="Tahoma"/>
      <family val="2"/>
    </font>
    <font>
      <b/>
      <sz val="26"/>
      <color rgb="FFFF0000"/>
      <name val="Tahoma"/>
      <family val="2"/>
    </font>
    <font>
      <b/>
      <sz val="10"/>
      <color rgb="FFFF0000"/>
      <name val="Tahoma"/>
      <family val="2"/>
    </font>
    <font>
      <b/>
      <sz val="10"/>
      <color rgb="FF993300"/>
      <name val="Tahoma"/>
      <family val="2"/>
    </font>
    <font>
      <i/>
      <sz val="10"/>
      <color theme="1"/>
      <name val="Tahoma"/>
      <family val="2"/>
    </font>
    <font>
      <sz val="10"/>
      <color rgb="FF000000"/>
      <name val="Tahoma"/>
      <family val="2"/>
    </font>
    <font>
      <b/>
      <i/>
      <sz val="10"/>
      <color theme="1"/>
      <name val="Tahoma"/>
      <family val="2"/>
    </font>
    <font>
      <b/>
      <sz val="10"/>
      <color rgb="FFFFFFFF"/>
      <name val="Tahoma"/>
      <family val="2"/>
    </font>
    <font>
      <u/>
      <sz val="11"/>
      <color rgb="FF0000FF"/>
      <name val="MS PGothic"/>
      <family val="2"/>
    </font>
    <font>
      <u/>
      <sz val="10"/>
      <color rgb="FF0000FF"/>
      <name val="Tahoma"/>
      <family val="2"/>
    </font>
    <font>
      <sz val="11"/>
      <color theme="1"/>
      <name val="Tahom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1"/>
      <color rgb="FF0000FF"/>
      <name val="MS PGothic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sz val="11"/>
      <color theme="1"/>
      <name val="MS PGothic"/>
      <family val="2"/>
    </font>
    <font>
      <sz val="11"/>
      <color theme="1"/>
      <name val="Tahoma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10"/>
      <color rgb="FF666666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  <fill>
      <patternFill patternType="solid">
        <fgColor rgb="FF76923C"/>
        <bgColor rgb="FF76923C"/>
      </patternFill>
    </fill>
    <fill>
      <patternFill patternType="solid">
        <fgColor rgb="FFC9F7F5"/>
        <bgColor rgb="FFC9F7F5"/>
      </patternFill>
    </fill>
    <fill>
      <patternFill patternType="solid">
        <fgColor rgb="FFCCFFFF"/>
        <bgColor rgb="FFCCFFFF"/>
      </patternFill>
    </fill>
    <fill>
      <patternFill patternType="solid">
        <fgColor rgb="FF1F4E79"/>
        <bgColor rgb="FF1F4E79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1" fontId="1" fillId="2" borderId="1" xfId="0" applyNumberFormat="1" applyFont="1" applyFill="1" applyBorder="1"/>
    <xf numFmtId="0" fontId="2" fillId="2" borderId="0" xfId="0" applyFont="1" applyFill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/>
    </xf>
    <xf numFmtId="0" fontId="7" fillId="2" borderId="0" xfId="0" applyFont="1" applyFill="1" applyAlignment="1">
      <alignment wrapText="1"/>
    </xf>
    <xf numFmtId="0" fontId="8" fillId="0" borderId="9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1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164" fontId="1" fillId="2" borderId="1" xfId="0" applyNumberFormat="1" applyFont="1" applyFill="1" applyBorder="1"/>
    <xf numFmtId="0" fontId="4" fillId="2" borderId="13" xfId="0" applyFont="1" applyFill="1" applyBorder="1" applyAlignment="1">
      <alignment horizontal="left"/>
    </xf>
    <xf numFmtId="0" fontId="7" fillId="2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10" fillId="2" borderId="13" xfId="0" applyFont="1" applyFill="1" applyBorder="1" applyAlignment="1">
      <alignment horizontal="left" vertical="center"/>
    </xf>
    <xf numFmtId="0" fontId="1" fillId="0" borderId="11" xfId="0" applyFont="1" applyBorder="1"/>
    <xf numFmtId="0" fontId="2" fillId="2" borderId="0" xfId="0" applyFont="1" applyFill="1" applyAlignment="1">
      <alignment wrapText="1"/>
    </xf>
    <xf numFmtId="0" fontId="12" fillId="2" borderId="0" xfId="0" applyFont="1" applyFill="1"/>
    <xf numFmtId="0" fontId="1" fillId="2" borderId="1" xfId="0" applyFont="1" applyFill="1" applyBorder="1" applyAlignment="1">
      <alignment wrapText="1"/>
    </xf>
    <xf numFmtId="0" fontId="4" fillId="2" borderId="14" xfId="0" applyFont="1" applyFill="1" applyBorder="1" applyAlignment="1">
      <alignment horizontal="center" vertical="top" wrapText="1"/>
    </xf>
    <xf numFmtId="0" fontId="11" fillId="0" borderId="11" xfId="0" applyFont="1" applyBorder="1"/>
    <xf numFmtId="0" fontId="10" fillId="2" borderId="15" xfId="0" applyFont="1" applyFill="1" applyBorder="1" applyAlignment="1">
      <alignment horizontal="left"/>
    </xf>
    <xf numFmtId="0" fontId="4" fillId="2" borderId="13" xfId="0" applyFont="1" applyFill="1" applyBorder="1" applyAlignment="1">
      <alignment vertical="center"/>
    </xf>
    <xf numFmtId="0" fontId="1" fillId="2" borderId="15" xfId="0" applyFont="1" applyFill="1" applyBorder="1" applyAlignment="1">
      <alignment vertical="top"/>
    </xf>
    <xf numFmtId="1" fontId="10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13" fillId="2" borderId="14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left"/>
    </xf>
    <xf numFmtId="0" fontId="10" fillId="2" borderId="13" xfId="0" applyFont="1" applyFill="1" applyBorder="1" applyAlignment="1">
      <alignment vertical="center"/>
    </xf>
    <xf numFmtId="0" fontId="13" fillId="2" borderId="13" xfId="0" applyFont="1" applyFill="1" applyBorder="1" applyAlignment="1">
      <alignment horizontal="center" vertical="top" wrapText="1"/>
    </xf>
    <xf numFmtId="1" fontId="14" fillId="3" borderId="17" xfId="0" applyNumberFormat="1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top" wrapText="1"/>
    </xf>
    <xf numFmtId="0" fontId="6" fillId="2" borderId="0" xfId="0" applyFont="1" applyFill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4" fillId="0" borderId="0" xfId="0" applyFont="1" applyAlignment="1">
      <alignment horizontal="left"/>
    </xf>
    <xf numFmtId="0" fontId="14" fillId="3" borderId="2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7" fillId="2" borderId="15" xfId="0" applyNumberFormat="1" applyFont="1" applyFill="1" applyBorder="1" applyAlignment="1">
      <alignment horizontal="left" vertical="top"/>
    </xf>
    <xf numFmtId="0" fontId="1" fillId="2" borderId="22" xfId="0" applyFont="1" applyFill="1" applyBorder="1" applyAlignment="1">
      <alignment vertical="center"/>
    </xf>
    <xf numFmtId="164" fontId="14" fillId="4" borderId="17" xfId="0" applyNumberFormat="1" applyFont="1" applyFill="1" applyBorder="1" applyAlignment="1">
      <alignment horizontal="center" vertical="center"/>
    </xf>
    <xf numFmtId="49" fontId="1" fillId="2" borderId="23" xfId="0" applyNumberFormat="1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top" wrapText="1"/>
    </xf>
    <xf numFmtId="0" fontId="14" fillId="4" borderId="18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9" xfId="0" applyFont="1" applyFill="1" applyBorder="1" applyAlignment="1">
      <alignment horizontal="center" vertical="top" wrapText="1"/>
    </xf>
    <xf numFmtId="0" fontId="10" fillId="2" borderId="1" xfId="0" applyFont="1" applyFill="1" applyBorder="1"/>
    <xf numFmtId="0" fontId="12" fillId="2" borderId="0" xfId="0" applyFont="1" applyFill="1" applyAlignment="1">
      <alignment horizontal="center" vertical="center" wrapText="1"/>
    </xf>
    <xf numFmtId="166" fontId="11" fillId="0" borderId="22" xfId="0" applyNumberFormat="1" applyFont="1" applyBorder="1" applyAlignment="1">
      <alignment vertical="top" wrapText="1"/>
    </xf>
    <xf numFmtId="0" fontId="7" fillId="2" borderId="1" xfId="0" applyFont="1" applyFill="1" applyBorder="1"/>
    <xf numFmtId="0" fontId="15" fillId="2" borderId="23" xfId="0" applyFont="1" applyFill="1" applyBorder="1" applyAlignment="1">
      <alignment horizontal="left" vertical="center"/>
    </xf>
    <xf numFmtId="49" fontId="1" fillId="0" borderId="23" xfId="0" applyNumberFormat="1" applyFont="1" applyBorder="1" applyAlignment="1">
      <alignment vertical="top"/>
    </xf>
    <xf numFmtId="0" fontId="16" fillId="2" borderId="23" xfId="0" applyFont="1" applyFill="1" applyBorder="1" applyAlignment="1">
      <alignment horizontal="left" vertical="center"/>
    </xf>
    <xf numFmtId="0" fontId="1" fillId="0" borderId="23" xfId="0" applyFont="1" applyBorder="1" applyAlignment="1">
      <alignment vertical="top" wrapText="1"/>
    </xf>
    <xf numFmtId="0" fontId="1" fillId="2" borderId="24" xfId="0" applyFont="1" applyFill="1" applyBorder="1" applyAlignment="1">
      <alignment horizontal="left" vertical="center"/>
    </xf>
    <xf numFmtId="0" fontId="1" fillId="0" borderId="23" xfId="0" applyFont="1" applyBorder="1" applyAlignment="1">
      <alignment vertical="top"/>
    </xf>
    <xf numFmtId="0" fontId="11" fillId="0" borderId="24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3" fillId="2" borderId="25" xfId="0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center" vertical="top" wrapText="1"/>
    </xf>
    <xf numFmtId="0" fontId="17" fillId="0" borderId="0" xfId="0" applyFont="1"/>
    <xf numFmtId="0" fontId="1" fillId="0" borderId="23" xfId="0" applyFont="1" applyBorder="1" applyAlignment="1">
      <alignment vertical="center" wrapText="1"/>
    </xf>
    <xf numFmtId="0" fontId="1" fillId="2" borderId="27" xfId="0" applyFont="1" applyFill="1" applyBorder="1"/>
    <xf numFmtId="0" fontId="1" fillId="2" borderId="28" xfId="0" applyFont="1" applyFill="1" applyBorder="1" applyAlignment="1">
      <alignment horizontal="center" vertical="top" wrapText="1"/>
    </xf>
    <xf numFmtId="0" fontId="14" fillId="4" borderId="29" xfId="0" applyFont="1" applyFill="1" applyBorder="1" applyAlignment="1">
      <alignment horizontal="center"/>
    </xf>
    <xf numFmtId="0" fontId="12" fillId="2" borderId="0" xfId="0" applyFont="1" applyFill="1" applyAlignment="1">
      <alignment horizontal="center" wrapText="1"/>
    </xf>
    <xf numFmtId="0" fontId="14" fillId="4" borderId="18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 wrapText="1"/>
    </xf>
    <xf numFmtId="164" fontId="1" fillId="0" borderId="22" xfId="0" applyNumberFormat="1" applyFont="1" applyBorder="1" applyAlignment="1">
      <alignment vertical="top"/>
    </xf>
    <xf numFmtId="0" fontId="14" fillId="4" borderId="20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 vertical="center" wrapText="1"/>
    </xf>
    <xf numFmtId="0" fontId="14" fillId="4" borderId="30" xfId="0" applyFont="1" applyFill="1" applyBorder="1" applyAlignment="1">
      <alignment horizontal="center" wrapText="1"/>
    </xf>
    <xf numFmtId="0" fontId="1" fillId="0" borderId="24" xfId="0" applyFont="1" applyBorder="1" applyAlignment="1">
      <alignment vertical="top" wrapText="1"/>
    </xf>
    <xf numFmtId="0" fontId="9" fillId="2" borderId="0" xfId="0" applyFont="1" applyFill="1" applyAlignment="1">
      <alignment horizontal="center" vertical="center" wrapText="1"/>
    </xf>
    <xf numFmtId="164" fontId="1" fillId="0" borderId="31" xfId="0" applyNumberFormat="1" applyFont="1" applyBorder="1" applyAlignment="1">
      <alignment vertical="top"/>
    </xf>
    <xf numFmtId="0" fontId="1" fillId="2" borderId="33" xfId="0" applyFont="1" applyFill="1" applyBorder="1" applyAlignment="1">
      <alignment horizontal="center"/>
    </xf>
    <xf numFmtId="0" fontId="18" fillId="6" borderId="32" xfId="0" applyFont="1" applyFill="1" applyBorder="1"/>
    <xf numFmtId="49" fontId="1" fillId="0" borderId="34" xfId="0" applyNumberFormat="1" applyFont="1" applyBorder="1" applyAlignment="1">
      <alignment vertical="top"/>
    </xf>
    <xf numFmtId="0" fontId="1" fillId="0" borderId="34" xfId="0" applyFont="1" applyBorder="1" applyAlignment="1">
      <alignment vertical="top"/>
    </xf>
    <xf numFmtId="0" fontId="9" fillId="2" borderId="0" xfId="0" applyFont="1" applyFill="1" applyAlignment="1">
      <alignment horizontal="left" vertical="center"/>
    </xf>
    <xf numFmtId="0" fontId="1" fillId="0" borderId="34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9" fillId="2" borderId="32" xfId="0" applyFont="1" applyFill="1" applyBorder="1" applyAlignment="1">
      <alignment vertical="top" wrapText="1"/>
    </xf>
    <xf numFmtId="0" fontId="1" fillId="2" borderId="23" xfId="0" applyFont="1" applyFill="1" applyBorder="1"/>
    <xf numFmtId="49" fontId="1" fillId="2" borderId="23" xfId="0" applyNumberFormat="1" applyFont="1" applyFill="1" applyBorder="1" applyAlignment="1">
      <alignment horizontal="left" vertical="center" wrapText="1"/>
    </xf>
    <xf numFmtId="0" fontId="20" fillId="2" borderId="23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vertical="top"/>
    </xf>
    <xf numFmtId="0" fontId="1" fillId="2" borderId="23" xfId="0" applyFont="1" applyFill="1" applyBorder="1" applyAlignment="1">
      <alignment horizontal="center"/>
    </xf>
    <xf numFmtId="0" fontId="2" fillId="2" borderId="0" xfId="0" applyFont="1" applyFill="1" applyAlignment="1">
      <alignment vertical="top" wrapText="1"/>
    </xf>
    <xf numFmtId="0" fontId="1" fillId="2" borderId="2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left" vertical="center"/>
    </xf>
    <xf numFmtId="0" fontId="1" fillId="2" borderId="6" xfId="0" applyFont="1" applyFill="1" applyBorder="1"/>
    <xf numFmtId="1" fontId="1" fillId="2" borderId="22" xfId="0" applyNumberFormat="1" applyFont="1" applyFill="1" applyBorder="1" applyAlignment="1">
      <alignment vertical="center"/>
    </xf>
    <xf numFmtId="1" fontId="1" fillId="2" borderId="31" xfId="0" applyNumberFormat="1" applyFont="1" applyFill="1" applyBorder="1" applyAlignment="1">
      <alignment vertical="center"/>
    </xf>
    <xf numFmtId="49" fontId="1" fillId="2" borderId="34" xfId="0" applyNumberFormat="1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center"/>
    </xf>
    <xf numFmtId="0" fontId="1" fillId="2" borderId="23" xfId="0" applyFont="1" applyFill="1" applyBorder="1" applyAlignment="1">
      <alignment wrapText="1"/>
    </xf>
    <xf numFmtId="0" fontId="21" fillId="4" borderId="37" xfId="0" applyFont="1" applyFill="1" applyBorder="1" applyAlignment="1">
      <alignment horizontal="center"/>
    </xf>
    <xf numFmtId="0" fontId="14" fillId="4" borderId="34" xfId="0" applyFont="1" applyFill="1" applyBorder="1"/>
    <xf numFmtId="0" fontId="21" fillId="4" borderId="34" xfId="0" applyFont="1" applyFill="1" applyBorder="1" applyAlignment="1">
      <alignment horizontal="center"/>
    </xf>
    <xf numFmtId="0" fontId="21" fillId="4" borderId="3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2" fillId="2" borderId="1" xfId="0" applyNumberFormat="1" applyFont="1" applyFill="1" applyBorder="1" applyAlignment="1">
      <alignment horizontal="right" wrapText="1"/>
    </xf>
    <xf numFmtId="0" fontId="12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12" fillId="2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7" borderId="38" xfId="0" applyFont="1" applyFill="1" applyBorder="1" applyAlignment="1">
      <alignment horizontal="left" vertical="center"/>
    </xf>
    <xf numFmtId="0" fontId="4" fillId="7" borderId="39" xfId="0" applyFont="1" applyFill="1" applyBorder="1" applyAlignment="1">
      <alignment horizontal="left" vertical="center"/>
    </xf>
    <xf numFmtId="0" fontId="4" fillId="7" borderId="40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vertical="top" wrapText="1"/>
    </xf>
    <xf numFmtId="0" fontId="12" fillId="2" borderId="13" xfId="0" applyFont="1" applyFill="1" applyBorder="1" applyAlignment="1">
      <alignment vertical="top" wrapText="1"/>
    </xf>
    <xf numFmtId="0" fontId="12" fillId="2" borderId="13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2" fillId="2" borderId="13" xfId="0" applyFont="1" applyFill="1" applyBorder="1" applyAlignment="1">
      <alignment vertical="top"/>
    </xf>
    <xf numFmtId="0" fontId="4" fillId="7" borderId="41" xfId="0" applyFont="1" applyFill="1" applyBorder="1" applyAlignment="1">
      <alignment horizontal="left" vertical="center"/>
    </xf>
    <xf numFmtId="0" fontId="4" fillId="7" borderId="42" xfId="0" applyFont="1" applyFill="1" applyBorder="1" applyAlignment="1">
      <alignment horizontal="left" vertical="center"/>
    </xf>
    <xf numFmtId="0" fontId="4" fillId="7" borderId="15" xfId="0" applyFont="1" applyFill="1" applyBorder="1" applyAlignment="1">
      <alignment horizontal="left" vertical="center"/>
    </xf>
    <xf numFmtId="0" fontId="1" fillId="2" borderId="43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165" fontId="1" fillId="2" borderId="13" xfId="0" applyNumberFormat="1" applyFont="1" applyFill="1" applyBorder="1" applyAlignment="1">
      <alignment vertical="top" wrapText="1"/>
    </xf>
    <xf numFmtId="0" fontId="17" fillId="2" borderId="13" xfId="0" applyFont="1" applyFill="1" applyBorder="1" applyAlignment="1">
      <alignment vertical="top" wrapText="1"/>
    </xf>
    <xf numFmtId="0" fontId="23" fillId="2" borderId="13" xfId="0" applyFont="1" applyFill="1" applyBorder="1" applyAlignment="1">
      <alignment vertical="top"/>
    </xf>
    <xf numFmtId="0" fontId="1" fillId="2" borderId="13" xfId="0" applyFont="1" applyFill="1" applyBorder="1"/>
    <xf numFmtId="0" fontId="24" fillId="2" borderId="13" xfId="0" applyFont="1" applyFill="1" applyBorder="1" applyAlignment="1">
      <alignment vertical="top" wrapText="1"/>
    </xf>
    <xf numFmtId="0" fontId="25" fillId="8" borderId="13" xfId="0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13" xfId="0" applyFont="1" applyBorder="1" applyAlignment="1">
      <alignment vertical="top" wrapText="1"/>
    </xf>
    <xf numFmtId="0" fontId="28" fillId="0" borderId="44" xfId="0" applyFont="1" applyBorder="1" applyAlignment="1">
      <alignment vertical="top" wrapText="1"/>
    </xf>
    <xf numFmtId="0" fontId="28" fillId="0" borderId="45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center"/>
    </xf>
    <xf numFmtId="0" fontId="5" fillId="0" borderId="10" xfId="0" applyFont="1" applyBorder="1"/>
    <xf numFmtId="0" fontId="5" fillId="0" borderId="11" xfId="0" applyFont="1" applyBorder="1"/>
    <xf numFmtId="0" fontId="11" fillId="0" borderId="9" xfId="0" applyFont="1" applyBorder="1" applyAlignment="1">
      <alignment horizontal="left"/>
    </xf>
    <xf numFmtId="0" fontId="11" fillId="0" borderId="9" xfId="0" applyFont="1" applyBorder="1" applyAlignment="1">
      <alignment horizontal="left" vertical="center"/>
    </xf>
    <xf numFmtId="1" fontId="10" fillId="2" borderId="9" xfId="0" applyNumberFormat="1" applyFont="1" applyFill="1" applyBorder="1"/>
    <xf numFmtId="0" fontId="5" fillId="0" borderId="12" xfId="0" applyFont="1" applyBorder="1"/>
    <xf numFmtId="0" fontId="7" fillId="2" borderId="9" xfId="0" applyFont="1" applyFill="1" applyBorder="1" applyAlignment="1">
      <alignment horizontal="left"/>
    </xf>
    <xf numFmtId="1" fontId="10" fillId="2" borderId="9" xfId="0" applyNumberFormat="1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/>
    </xf>
    <xf numFmtId="0" fontId="5" fillId="0" borderId="4" xfId="0" applyFont="1" applyBorder="1"/>
    <xf numFmtId="0" fontId="5" fillId="0" borderId="6" xfId="0" applyFont="1" applyBorder="1"/>
    <xf numFmtId="0" fontId="10" fillId="2" borderId="9" xfId="0" applyFont="1" applyFill="1" applyBorder="1" applyAlignment="1">
      <alignment horizontal="left"/>
    </xf>
    <xf numFmtId="0" fontId="7" fillId="2" borderId="9" xfId="0" applyFont="1" applyFill="1" applyBorder="1" applyAlignment="1">
      <alignment vertical="top"/>
    </xf>
    <xf numFmtId="0" fontId="1" fillId="2" borderId="5" xfId="0" applyFont="1" applyFill="1" applyBorder="1" applyAlignment="1">
      <alignment horizontal="left" vertical="top" wrapText="1"/>
    </xf>
    <xf numFmtId="0" fontId="5" fillId="0" borderId="7" xfId="0" applyFont="1" applyBorder="1"/>
    <xf numFmtId="0" fontId="5" fillId="0" borderId="8" xfId="0" applyFont="1" applyBorder="1"/>
    <xf numFmtId="0" fontId="1" fillId="2" borderId="9" xfId="0" applyFont="1" applyFill="1" applyBorder="1" applyAlignment="1">
      <alignment horizontal="left" vertical="top" wrapText="1"/>
    </xf>
    <xf numFmtId="0" fontId="5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" id="{873cc33f-033f-46b7-ae3a-90211205e279}" providerId="google-sheets"/>
  <x18tc:person displayName="tqsang" id="{db8c0c39-b8d3-4231-90b1-ebb2206f79a5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11T05:27:14.00" personId="{db8c0c39-b8d3-4231-90b1-ebb2206f79a5}" id="{72ca7d43-202a-49bd-953b-29389849b117}" done="0">
    <x18tc:text xml:space="preserve">List all test cases (must run before this case), conditions that must be done, or required state that the system should be in before performing this case</x18tc:text>
  </x18tc:threadedComment>
  <x18tc:threadedComment ref="D10" dT="2026-09-11T05:27:14.00" personId="{873cc33f-033f-46b7-ae3a-90211205e279}" id="{40bac67b-081d-4b93-b8cc-f883804b5e48}" done="0">
    <x18tc:text xml:space="preserve">*A: Add
  M: Modify
  D: Delete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" dT="2026-09-11T05:27:14.00" personId="{db8c0c39-b8d3-4231-90b1-ebb2206f79a5}" id="{22447366-7996-4e6d-801b-f7d0eee55896}" done="0">
    <x18tc:text xml:space="preserve">List all test cases (must run before this case), conditions that must be done, or required state that the system should be in before performing this case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2.59765625" defaultRowHeight="15" customHeight="1" x14ac:dyDescent="0.25"/>
  <cols>
    <col min="1" max="1" width="28.1328125" customWidth="1"/>
    <col min="2" max="2" width="10" customWidth="1"/>
    <col min="3" max="3" width="14.3984375" customWidth="1"/>
    <col min="4" max="4" width="8" customWidth="1"/>
    <col min="5" max="5" width="38" customWidth="1"/>
    <col min="6" max="6" width="48.1328125" customWidth="1"/>
    <col min="7" max="26" width="9" customWidth="1"/>
  </cols>
  <sheetData>
    <row r="1" spans="1:26" ht="12.7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5.75" customHeight="1" x14ac:dyDescent="0.25">
      <c r="A2" s="12"/>
      <c r="B2" s="160" t="s">
        <v>4</v>
      </c>
      <c r="C2" s="161"/>
      <c r="D2" s="161"/>
      <c r="E2" s="161"/>
      <c r="F2" s="162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35">
      <c r="A3" s="16"/>
      <c r="B3" s="17"/>
      <c r="C3" s="2"/>
      <c r="D3" s="2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19" t="s">
        <v>5</v>
      </c>
      <c r="B4" s="163" t="s">
        <v>6</v>
      </c>
      <c r="C4" s="161"/>
      <c r="D4" s="162"/>
      <c r="E4" s="19" t="s">
        <v>8</v>
      </c>
      <c r="F4" s="23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19" t="s">
        <v>7</v>
      </c>
      <c r="B5" s="163"/>
      <c r="C5" s="161"/>
      <c r="D5" s="162"/>
      <c r="E5" s="19" t="s">
        <v>12</v>
      </c>
      <c r="F5" s="28" t="s">
        <v>14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30" t="s">
        <v>17</v>
      </c>
      <c r="B6" s="164" t="str">
        <f>B5&amp;"_"&amp;"XXX"&amp;"_"&amp;"vx.x"</f>
        <v>_XXX_vx.x</v>
      </c>
      <c r="C6" s="161"/>
      <c r="D6" s="162"/>
      <c r="E6" s="19" t="s">
        <v>21</v>
      </c>
      <c r="F6" s="36" t="s">
        <v>22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35">
      <c r="A7" s="38"/>
      <c r="B7" s="17"/>
      <c r="C7" s="2"/>
      <c r="D7" s="2"/>
      <c r="E7" s="40"/>
      <c r="F7" s="1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35">
      <c r="A9" s="49" t="s">
        <v>30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54" t="s">
        <v>33</v>
      </c>
      <c r="B10" s="57" t="s">
        <v>21</v>
      </c>
      <c r="C10" s="57" t="s">
        <v>36</v>
      </c>
      <c r="D10" s="57" t="s">
        <v>37</v>
      </c>
      <c r="E10" s="57" t="s">
        <v>38</v>
      </c>
      <c r="F10" s="58" t="s">
        <v>39</v>
      </c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84.75" customHeight="1" x14ac:dyDescent="0.25">
      <c r="A11" s="63">
        <v>46298</v>
      </c>
      <c r="B11" s="66" t="s">
        <v>22</v>
      </c>
      <c r="C11" s="68" t="s">
        <v>41</v>
      </c>
      <c r="D11" s="70" t="s">
        <v>42</v>
      </c>
      <c r="E11" s="68" t="s">
        <v>43</v>
      </c>
      <c r="F11" s="71" t="s">
        <v>44</v>
      </c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35.25" customHeight="1" x14ac:dyDescent="0.25">
      <c r="A12" s="63">
        <v>46299</v>
      </c>
      <c r="B12" s="66" t="s">
        <v>22</v>
      </c>
      <c r="C12" s="76" t="s">
        <v>48</v>
      </c>
      <c r="D12" s="70" t="s">
        <v>42</v>
      </c>
      <c r="E12" s="68" t="s">
        <v>49</v>
      </c>
      <c r="F12" s="71" t="s">
        <v>44</v>
      </c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39.75" customHeight="1" x14ac:dyDescent="0.25">
      <c r="A13" s="63">
        <v>46299</v>
      </c>
      <c r="B13" s="66" t="s">
        <v>22</v>
      </c>
      <c r="C13" s="68" t="s">
        <v>50</v>
      </c>
      <c r="D13" s="70" t="s">
        <v>42</v>
      </c>
      <c r="E13" s="68" t="s">
        <v>51</v>
      </c>
      <c r="F13" s="71" t="s">
        <v>44</v>
      </c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54" customHeight="1" x14ac:dyDescent="0.25">
      <c r="A14" s="63">
        <v>46299</v>
      </c>
      <c r="B14" s="66" t="s">
        <v>22</v>
      </c>
      <c r="C14" s="70" t="s">
        <v>53</v>
      </c>
      <c r="D14" s="70" t="s">
        <v>42</v>
      </c>
      <c r="E14" s="68" t="s">
        <v>54</v>
      </c>
      <c r="F14" s="71" t="s">
        <v>44</v>
      </c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48.75" customHeight="1" x14ac:dyDescent="0.25">
      <c r="A15" s="63">
        <v>46299</v>
      </c>
      <c r="B15" s="66" t="s">
        <v>22</v>
      </c>
      <c r="C15" s="68" t="s">
        <v>56</v>
      </c>
      <c r="D15" s="70" t="s">
        <v>42</v>
      </c>
      <c r="E15" s="68" t="s">
        <v>57</v>
      </c>
      <c r="F15" s="71" t="s">
        <v>44</v>
      </c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21.75" customHeight="1" x14ac:dyDescent="0.25">
      <c r="A16" s="83"/>
      <c r="B16" s="66"/>
      <c r="C16" s="70"/>
      <c r="D16" s="70"/>
      <c r="E16" s="68"/>
      <c r="F16" s="87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9.5" customHeight="1" x14ac:dyDescent="0.25">
      <c r="A17" s="89"/>
      <c r="B17" s="92"/>
      <c r="C17" s="93"/>
      <c r="D17" s="93"/>
      <c r="E17" s="95"/>
      <c r="F17" s="96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12.75" customHeight="1" x14ac:dyDescent="0.3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3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3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3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3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3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3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3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3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3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3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3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" footer="0"/>
  <pageSetup paperSize="9" orientation="landscape"/>
  <headerFooter>
    <oddFooter>&amp;L 02ae-BM/PM/HDCV/FSOFT v2/1&amp;CInternal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7"/>
  <sheetViews>
    <sheetView topLeftCell="A5" workbookViewId="0"/>
  </sheetViews>
  <sheetFormatPr defaultColWidth="12.59765625" defaultRowHeight="15" customHeight="1" x14ac:dyDescent="0.25"/>
  <cols>
    <col min="1" max="1" width="1.3984375" customWidth="1"/>
    <col min="2" max="2" width="11.73046875" customWidth="1"/>
    <col min="3" max="3" width="26.46484375" customWidth="1"/>
    <col min="4" max="4" width="17.1328125" customWidth="1"/>
    <col min="5" max="5" width="28.1328125" customWidth="1"/>
    <col min="6" max="6" width="30.59765625" customWidth="1"/>
    <col min="7" max="26" width="9" customWidth="1"/>
  </cols>
  <sheetData>
    <row r="1" spans="1:26" ht="12.75" customHeight="1" x14ac:dyDescent="0.6">
      <c r="A1" s="4"/>
      <c r="B1" s="5"/>
      <c r="C1" s="7"/>
      <c r="D1" s="8" t="s">
        <v>2</v>
      </c>
      <c r="E1" s="10"/>
      <c r="F1" s="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 x14ac:dyDescent="0.35">
      <c r="A2" s="4"/>
      <c r="B2" s="5"/>
      <c r="C2" s="7"/>
      <c r="D2" s="13"/>
      <c r="E2" s="13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5">
      <c r="A3" s="4"/>
      <c r="B3" s="165" t="s">
        <v>5</v>
      </c>
      <c r="C3" s="166"/>
      <c r="D3" s="167" t="s">
        <v>6</v>
      </c>
      <c r="E3" s="161"/>
      <c r="F3" s="16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5">
      <c r="A4" s="4"/>
      <c r="B4" s="165" t="s">
        <v>7</v>
      </c>
      <c r="C4" s="166"/>
      <c r="D4" s="167"/>
      <c r="E4" s="161"/>
      <c r="F4" s="16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5.75" customHeight="1" x14ac:dyDescent="0.35">
      <c r="A5" s="26"/>
      <c r="B5" s="168" t="s">
        <v>13</v>
      </c>
      <c r="C5" s="162"/>
      <c r="D5" s="169" t="s">
        <v>16</v>
      </c>
      <c r="E5" s="161"/>
      <c r="F5" s="162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2.75" customHeight="1" x14ac:dyDescent="0.35">
      <c r="A6" s="4"/>
      <c r="B6" s="3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33"/>
      <c r="B7" s="34"/>
      <c r="C7" s="35"/>
      <c r="D7" s="35"/>
      <c r="E7" s="35"/>
      <c r="F7" s="35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35">
      <c r="A8" s="37"/>
      <c r="B8" s="43" t="s">
        <v>24</v>
      </c>
      <c r="C8" s="44" t="s">
        <v>26</v>
      </c>
      <c r="D8" s="44" t="s">
        <v>28</v>
      </c>
      <c r="E8" s="47" t="s">
        <v>29</v>
      </c>
      <c r="F8" s="50" t="s">
        <v>31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 x14ac:dyDescent="0.35">
      <c r="A9" s="4"/>
      <c r="B9" s="53">
        <v>1</v>
      </c>
      <c r="C9" s="55" t="s">
        <v>35</v>
      </c>
      <c r="D9" s="65" t="s">
        <v>3</v>
      </c>
      <c r="E9" s="67"/>
      <c r="F9" s="6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5">
      <c r="A10" s="4"/>
      <c r="B10" s="53">
        <v>2</v>
      </c>
      <c r="C10" s="55" t="s">
        <v>45</v>
      </c>
      <c r="D10" s="65" t="s">
        <v>3</v>
      </c>
      <c r="E10" s="67"/>
      <c r="F10" s="6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5">
      <c r="A11" s="4"/>
      <c r="B11" s="53">
        <v>3</v>
      </c>
      <c r="C11" s="75" t="s">
        <v>47</v>
      </c>
      <c r="D11" s="65" t="s">
        <v>3</v>
      </c>
      <c r="E11" s="67"/>
      <c r="F11" s="6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5">
      <c r="A12" s="4"/>
      <c r="B12" s="53">
        <v>4</v>
      </c>
      <c r="C12" s="55" t="s">
        <v>52</v>
      </c>
      <c r="D12" s="65" t="s">
        <v>3</v>
      </c>
      <c r="E12" s="67"/>
      <c r="F12" s="6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5">
      <c r="A13" s="4"/>
      <c r="B13" s="53">
        <v>5</v>
      </c>
      <c r="C13" s="55" t="s">
        <v>59</v>
      </c>
      <c r="D13" s="65" t="s">
        <v>59</v>
      </c>
      <c r="E13" s="67"/>
      <c r="F13" s="6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5">
      <c r="A14" s="4"/>
      <c r="B14" s="53">
        <v>6</v>
      </c>
      <c r="C14" s="55" t="s">
        <v>69</v>
      </c>
      <c r="D14" s="65" t="s">
        <v>48</v>
      </c>
      <c r="E14" s="67"/>
      <c r="F14" s="6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5">
      <c r="A15" s="4"/>
      <c r="B15" s="53">
        <v>7</v>
      </c>
      <c r="C15" s="55" t="s">
        <v>70</v>
      </c>
      <c r="D15" s="65" t="s">
        <v>48</v>
      </c>
      <c r="E15" s="67"/>
      <c r="F15" s="6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5">
      <c r="A16" s="4"/>
      <c r="B16" s="53">
        <v>8</v>
      </c>
      <c r="C16" s="55" t="s">
        <v>76</v>
      </c>
      <c r="D16" s="65" t="s">
        <v>48</v>
      </c>
      <c r="E16" s="67"/>
      <c r="F16" s="6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5">
      <c r="A17" s="4"/>
      <c r="B17" s="53">
        <v>9</v>
      </c>
      <c r="C17" s="99" t="s">
        <v>77</v>
      </c>
      <c r="D17" s="100" t="s">
        <v>50</v>
      </c>
      <c r="E17" s="67"/>
      <c r="F17" s="6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5">
      <c r="A18" s="4"/>
      <c r="B18" s="53">
        <v>10</v>
      </c>
      <c r="C18" s="99" t="s">
        <v>78</v>
      </c>
      <c r="D18" s="100" t="s">
        <v>50</v>
      </c>
      <c r="E18" s="67"/>
      <c r="F18" s="6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5">
      <c r="A19" s="4"/>
      <c r="B19" s="53">
        <v>11</v>
      </c>
      <c r="C19" s="99" t="s">
        <v>82</v>
      </c>
      <c r="D19" s="100" t="s">
        <v>50</v>
      </c>
      <c r="E19" s="67"/>
      <c r="F19" s="6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5">
      <c r="A20" s="4"/>
      <c r="B20" s="53">
        <v>12</v>
      </c>
      <c r="C20" s="55" t="s">
        <v>87</v>
      </c>
      <c r="D20" s="100" t="s">
        <v>53</v>
      </c>
      <c r="E20" s="67"/>
      <c r="F20" s="6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5">
      <c r="A21" s="4"/>
      <c r="B21" s="53">
        <v>13</v>
      </c>
      <c r="C21" s="55" t="s">
        <v>91</v>
      </c>
      <c r="D21" s="100" t="s">
        <v>53</v>
      </c>
      <c r="E21" s="105"/>
      <c r="F21" s="6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5">
      <c r="A22" s="4"/>
      <c r="B22" s="53">
        <v>14</v>
      </c>
      <c r="C22" s="55" t="s">
        <v>97</v>
      </c>
      <c r="D22" s="100" t="s">
        <v>53</v>
      </c>
      <c r="E22" s="105"/>
      <c r="F22" s="6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5">
      <c r="A23" s="4"/>
      <c r="B23" s="53">
        <v>15</v>
      </c>
      <c r="C23" s="55" t="s">
        <v>101</v>
      </c>
      <c r="D23" s="100" t="s">
        <v>56</v>
      </c>
      <c r="E23" s="105"/>
      <c r="F23" s="6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5">
      <c r="A24" s="4"/>
      <c r="B24" s="53">
        <v>16</v>
      </c>
      <c r="C24" s="55" t="s">
        <v>107</v>
      </c>
      <c r="D24" s="100" t="s">
        <v>56</v>
      </c>
      <c r="E24" s="105"/>
      <c r="F24" s="6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5">
      <c r="A25" s="4"/>
      <c r="B25" s="53">
        <v>17</v>
      </c>
      <c r="C25" s="55" t="s">
        <v>110</v>
      </c>
      <c r="D25" s="100" t="s">
        <v>56</v>
      </c>
      <c r="E25" s="105"/>
      <c r="F25" s="6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5">
      <c r="A26" s="4"/>
      <c r="B26" s="53">
        <v>18</v>
      </c>
      <c r="C26" s="55" t="s">
        <v>116</v>
      </c>
      <c r="D26" s="100" t="s">
        <v>56</v>
      </c>
      <c r="E26" s="105"/>
      <c r="F26" s="6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5">
      <c r="A27" s="4"/>
      <c r="B27" s="107"/>
      <c r="C27" s="55"/>
      <c r="D27" s="105"/>
      <c r="E27" s="105"/>
      <c r="F27" s="6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5">
      <c r="A28" s="4"/>
      <c r="B28" s="108"/>
      <c r="C28" s="109"/>
      <c r="D28" s="110"/>
      <c r="E28" s="110"/>
      <c r="F28" s="11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5">
      <c r="A29" s="4"/>
      <c r="B29" s="5"/>
      <c r="C29" s="7"/>
      <c r="D29" s="7"/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5">
      <c r="A30" s="4"/>
      <c r="B30" s="5"/>
      <c r="C30" s="7"/>
      <c r="D30" s="7"/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5">
      <c r="A31" s="4"/>
      <c r="B31" s="5"/>
      <c r="C31" s="7"/>
      <c r="D31" s="7"/>
      <c r="E31" s="7"/>
      <c r="F31" s="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5">
      <c r="A32" s="4"/>
      <c r="B32" s="5"/>
      <c r="C32" s="7"/>
      <c r="D32" s="7"/>
      <c r="E32" s="7"/>
      <c r="F32" s="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5">
      <c r="A33" s="4"/>
      <c r="B33" s="5"/>
      <c r="C33" s="7"/>
      <c r="D33" s="7"/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5">
      <c r="A34" s="4"/>
      <c r="B34" s="5"/>
      <c r="C34" s="7"/>
      <c r="D34" s="7"/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5">
      <c r="A35" s="4"/>
      <c r="B35" s="5"/>
      <c r="C35" s="7"/>
      <c r="D35" s="7"/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5">
      <c r="A36" s="4"/>
      <c r="B36" s="5"/>
      <c r="C36" s="7"/>
      <c r="D36" s="7"/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5">
      <c r="A37" s="4"/>
      <c r="B37" s="5"/>
      <c r="C37" s="7"/>
      <c r="D37" s="7"/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5">
      <c r="A38" s="4"/>
      <c r="B38" s="5"/>
      <c r="C38" s="7"/>
      <c r="D38" s="7"/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5">
      <c r="A39" s="4"/>
      <c r="B39" s="5"/>
      <c r="C39" s="7"/>
      <c r="D39" s="7"/>
      <c r="E39" s="7"/>
      <c r="F39" s="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5">
      <c r="A40" s="4"/>
      <c r="B40" s="5"/>
      <c r="C40" s="7"/>
      <c r="D40" s="7"/>
      <c r="E40" s="7"/>
      <c r="F40" s="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5">
      <c r="A41" s="4"/>
      <c r="B41" s="5"/>
      <c r="C41" s="7"/>
      <c r="D41" s="7"/>
      <c r="E41" s="7"/>
      <c r="F41" s="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5">
      <c r="A42" s="4"/>
      <c r="B42" s="5"/>
      <c r="C42" s="7"/>
      <c r="D42" s="7"/>
      <c r="E42" s="7"/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5">
      <c r="A43" s="4"/>
      <c r="B43" s="5"/>
      <c r="C43" s="7"/>
      <c r="D43" s="7"/>
      <c r="E43" s="7"/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5">
      <c r="A44" s="4"/>
      <c r="B44" s="5"/>
      <c r="C44" s="7"/>
      <c r="D44" s="7"/>
      <c r="E44" s="7"/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5">
      <c r="A45" s="4"/>
      <c r="B45" s="5"/>
      <c r="C45" s="7"/>
      <c r="D45" s="7"/>
      <c r="E45" s="7"/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5">
      <c r="A46" s="4"/>
      <c r="B46" s="5"/>
      <c r="C46" s="7"/>
      <c r="D46" s="7"/>
      <c r="E46" s="7"/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5">
      <c r="A47" s="4"/>
      <c r="B47" s="5"/>
      <c r="C47" s="7"/>
      <c r="D47" s="7"/>
      <c r="E47" s="7"/>
      <c r="F47" s="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5">
      <c r="A48" s="4"/>
      <c r="B48" s="5"/>
      <c r="C48" s="7"/>
      <c r="D48" s="7"/>
      <c r="E48" s="7"/>
      <c r="F48" s="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5">
      <c r="A49" s="4"/>
      <c r="B49" s="5"/>
      <c r="C49" s="7"/>
      <c r="D49" s="7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5">
      <c r="A50" s="4"/>
      <c r="B50" s="5"/>
      <c r="C50" s="7"/>
      <c r="D50" s="7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5">
      <c r="A51" s="4"/>
      <c r="B51" s="5"/>
      <c r="C51" s="7"/>
      <c r="D51" s="7"/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5">
      <c r="A52" s="4"/>
      <c r="B52" s="5"/>
      <c r="C52" s="7"/>
      <c r="D52" s="7"/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5">
      <c r="A53" s="4"/>
      <c r="B53" s="5"/>
      <c r="C53" s="7"/>
      <c r="D53" s="7"/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5">
      <c r="A54" s="4"/>
      <c r="B54" s="5"/>
      <c r="C54" s="7"/>
      <c r="D54" s="7"/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5">
      <c r="A55" s="4"/>
      <c r="B55" s="5"/>
      <c r="C55" s="7"/>
      <c r="D55" s="7"/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5">
      <c r="A56" s="4"/>
      <c r="B56" s="5"/>
      <c r="C56" s="7"/>
      <c r="D56" s="7"/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5">
      <c r="A57" s="4"/>
      <c r="B57" s="5"/>
      <c r="C57" s="7"/>
      <c r="D57" s="7"/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5">
      <c r="A58" s="4"/>
      <c r="B58" s="5"/>
      <c r="C58" s="7"/>
      <c r="D58" s="7"/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5">
      <c r="A59" s="4"/>
      <c r="B59" s="5"/>
      <c r="C59" s="7"/>
      <c r="D59" s="7"/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5">
      <c r="A60" s="4"/>
      <c r="B60" s="5"/>
      <c r="C60" s="7"/>
      <c r="D60" s="7"/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5">
      <c r="A61" s="4"/>
      <c r="B61" s="5"/>
      <c r="C61" s="7"/>
      <c r="D61" s="7"/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5">
      <c r="A62" s="4"/>
      <c r="B62" s="5"/>
      <c r="C62" s="7"/>
      <c r="D62" s="7"/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5">
      <c r="A63" s="4"/>
      <c r="B63" s="5"/>
      <c r="C63" s="7"/>
      <c r="D63" s="7"/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5">
      <c r="A64" s="4"/>
      <c r="B64" s="5"/>
      <c r="C64" s="7"/>
      <c r="D64" s="7"/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5">
      <c r="A65" s="4"/>
      <c r="B65" s="5"/>
      <c r="C65" s="7"/>
      <c r="D65" s="7"/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5">
      <c r="A66" s="4"/>
      <c r="B66" s="5"/>
      <c r="C66" s="7"/>
      <c r="D66" s="7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5">
      <c r="A67" s="4"/>
      <c r="B67" s="5"/>
      <c r="C67" s="7"/>
      <c r="D67" s="7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5">
      <c r="A68" s="4"/>
      <c r="B68" s="5"/>
      <c r="C68" s="7"/>
      <c r="D68" s="7"/>
      <c r="E68" s="7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5">
      <c r="A69" s="4"/>
      <c r="B69" s="5"/>
      <c r="C69" s="7"/>
      <c r="D69" s="7"/>
      <c r="E69" s="7"/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5">
      <c r="A70" s="4"/>
      <c r="B70" s="5"/>
      <c r="C70" s="7"/>
      <c r="D70" s="7"/>
      <c r="E70" s="7"/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5">
      <c r="A71" s="4"/>
      <c r="B71" s="5"/>
      <c r="C71" s="7"/>
      <c r="D71" s="7"/>
      <c r="E71" s="7"/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5">
      <c r="A72" s="4"/>
      <c r="B72" s="5"/>
      <c r="C72" s="7"/>
      <c r="D72" s="7"/>
      <c r="E72" s="7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5">
      <c r="A73" s="4"/>
      <c r="B73" s="5"/>
      <c r="C73" s="7"/>
      <c r="D73" s="7"/>
      <c r="E73" s="7"/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5">
      <c r="A74" s="4"/>
      <c r="B74" s="5"/>
      <c r="C74" s="7"/>
      <c r="D74" s="7"/>
      <c r="E74" s="7"/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5">
      <c r="A75" s="4"/>
      <c r="B75" s="5"/>
      <c r="C75" s="7"/>
      <c r="D75" s="7"/>
      <c r="E75" s="7"/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5">
      <c r="A76" s="4"/>
      <c r="B76" s="5"/>
      <c r="C76" s="7"/>
      <c r="D76" s="7"/>
      <c r="E76" s="7"/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5">
      <c r="A77" s="4"/>
      <c r="B77" s="5"/>
      <c r="C77" s="7"/>
      <c r="D77" s="7"/>
      <c r="E77" s="7"/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5">
      <c r="A78" s="4"/>
      <c r="B78" s="5"/>
      <c r="C78" s="7"/>
      <c r="D78" s="7"/>
      <c r="E78" s="7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5">
      <c r="A79" s="4"/>
      <c r="B79" s="5"/>
      <c r="C79" s="7"/>
      <c r="D79" s="7"/>
      <c r="E79" s="7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5">
      <c r="A80" s="4"/>
      <c r="B80" s="5"/>
      <c r="C80" s="7"/>
      <c r="D80" s="7"/>
      <c r="E80" s="7"/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5">
      <c r="A81" s="4"/>
      <c r="B81" s="5"/>
      <c r="C81" s="7"/>
      <c r="D81" s="7"/>
      <c r="E81" s="7"/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5">
      <c r="A82" s="4"/>
      <c r="B82" s="5"/>
      <c r="C82" s="7"/>
      <c r="D82" s="7"/>
      <c r="E82" s="7"/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5">
      <c r="A83" s="4"/>
      <c r="B83" s="5"/>
      <c r="C83" s="7"/>
      <c r="D83" s="7"/>
      <c r="E83" s="7"/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5">
      <c r="A84" s="4"/>
      <c r="B84" s="5"/>
      <c r="C84" s="7"/>
      <c r="D84" s="7"/>
      <c r="E84" s="7"/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5">
      <c r="A85" s="4"/>
      <c r="B85" s="5"/>
      <c r="C85" s="7"/>
      <c r="D85" s="7"/>
      <c r="E85" s="7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5">
      <c r="A86" s="4"/>
      <c r="B86" s="5"/>
      <c r="C86" s="7"/>
      <c r="D86" s="7"/>
      <c r="E86" s="7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5">
      <c r="A87" s="4"/>
      <c r="B87" s="5"/>
      <c r="C87" s="7"/>
      <c r="D87" s="7"/>
      <c r="E87" s="7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5">
      <c r="A88" s="4"/>
      <c r="B88" s="5"/>
      <c r="C88" s="7"/>
      <c r="D88" s="7"/>
      <c r="E88" s="7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5">
      <c r="A89" s="4"/>
      <c r="B89" s="5"/>
      <c r="C89" s="7"/>
      <c r="D89" s="7"/>
      <c r="E89" s="7"/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5">
      <c r="A90" s="4"/>
      <c r="B90" s="5"/>
      <c r="C90" s="7"/>
      <c r="D90" s="7"/>
      <c r="E90" s="7"/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5">
      <c r="A91" s="4"/>
      <c r="B91" s="5"/>
      <c r="C91" s="7"/>
      <c r="D91" s="7"/>
      <c r="E91" s="7"/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5">
      <c r="A92" s="4"/>
      <c r="B92" s="5"/>
      <c r="C92" s="7"/>
      <c r="D92" s="7"/>
      <c r="E92" s="7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5">
      <c r="A93" s="4"/>
      <c r="B93" s="5"/>
      <c r="C93" s="7"/>
      <c r="D93" s="7"/>
      <c r="E93" s="7"/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5">
      <c r="A94" s="4"/>
      <c r="B94" s="5"/>
      <c r="C94" s="7"/>
      <c r="D94" s="7"/>
      <c r="E94" s="7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5">
      <c r="A95" s="4"/>
      <c r="B95" s="5"/>
      <c r="C95" s="7"/>
      <c r="D95" s="7"/>
      <c r="E95" s="7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5">
      <c r="A96" s="4"/>
      <c r="B96" s="5"/>
      <c r="C96" s="7"/>
      <c r="D96" s="7"/>
      <c r="E96" s="7"/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5">
      <c r="A97" s="4"/>
      <c r="B97" s="5"/>
      <c r="C97" s="7"/>
      <c r="D97" s="7"/>
      <c r="E97" s="7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5">
      <c r="A98" s="4"/>
      <c r="B98" s="5"/>
      <c r="C98" s="7"/>
      <c r="D98" s="7"/>
      <c r="E98" s="7"/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5">
      <c r="A99" s="4"/>
      <c r="B99" s="5"/>
      <c r="C99" s="7"/>
      <c r="D99" s="7"/>
      <c r="E99" s="7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5">
      <c r="A100" s="4"/>
      <c r="B100" s="5"/>
      <c r="C100" s="7"/>
      <c r="D100" s="7"/>
      <c r="E100" s="7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5">
      <c r="A101" s="4"/>
      <c r="B101" s="5"/>
      <c r="C101" s="7"/>
      <c r="D101" s="7"/>
      <c r="E101" s="7"/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5">
      <c r="A102" s="4"/>
      <c r="B102" s="5"/>
      <c r="C102" s="7"/>
      <c r="D102" s="7"/>
      <c r="E102" s="7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5">
      <c r="A103" s="4"/>
      <c r="B103" s="5"/>
      <c r="C103" s="7"/>
      <c r="D103" s="7"/>
      <c r="E103" s="7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5">
      <c r="A104" s="4"/>
      <c r="B104" s="5"/>
      <c r="C104" s="7"/>
      <c r="D104" s="7"/>
      <c r="E104" s="7"/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5">
      <c r="A105" s="4"/>
      <c r="B105" s="5"/>
      <c r="C105" s="7"/>
      <c r="D105" s="7"/>
      <c r="E105" s="7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5">
      <c r="A106" s="4"/>
      <c r="B106" s="5"/>
      <c r="C106" s="7"/>
      <c r="D106" s="7"/>
      <c r="E106" s="7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5">
      <c r="A107" s="4"/>
      <c r="B107" s="5"/>
      <c r="C107" s="7"/>
      <c r="D107" s="7"/>
      <c r="E107" s="7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5">
      <c r="A108" s="4"/>
      <c r="B108" s="5"/>
      <c r="C108" s="7"/>
      <c r="D108" s="7"/>
      <c r="E108" s="7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5">
      <c r="A109" s="4"/>
      <c r="B109" s="5"/>
      <c r="C109" s="7"/>
      <c r="D109" s="7"/>
      <c r="E109" s="7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5">
      <c r="A110" s="4"/>
      <c r="B110" s="5"/>
      <c r="C110" s="7"/>
      <c r="D110" s="7"/>
      <c r="E110" s="7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5">
      <c r="A111" s="4"/>
      <c r="B111" s="5"/>
      <c r="C111" s="7"/>
      <c r="D111" s="7"/>
      <c r="E111" s="7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5">
      <c r="A112" s="4"/>
      <c r="B112" s="5"/>
      <c r="C112" s="7"/>
      <c r="D112" s="7"/>
      <c r="E112" s="7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5">
      <c r="A113" s="4"/>
      <c r="B113" s="5"/>
      <c r="C113" s="7"/>
      <c r="D113" s="7"/>
      <c r="E113" s="7"/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5">
      <c r="A114" s="4"/>
      <c r="B114" s="5"/>
      <c r="C114" s="7"/>
      <c r="D114" s="7"/>
      <c r="E114" s="7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5">
      <c r="A115" s="4"/>
      <c r="B115" s="5"/>
      <c r="C115" s="7"/>
      <c r="D115" s="7"/>
      <c r="E115" s="7"/>
      <c r="F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5">
      <c r="A116" s="4"/>
      <c r="B116" s="5"/>
      <c r="C116" s="7"/>
      <c r="D116" s="7"/>
      <c r="E116" s="7"/>
      <c r="F116" s="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5">
      <c r="A117" s="4"/>
      <c r="B117" s="5"/>
      <c r="C117" s="7"/>
      <c r="D117" s="7"/>
      <c r="E117" s="7"/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5">
      <c r="A118" s="4"/>
      <c r="B118" s="5"/>
      <c r="C118" s="7"/>
      <c r="D118" s="7"/>
      <c r="E118" s="7"/>
      <c r="F118" s="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5">
      <c r="A119" s="4"/>
      <c r="B119" s="5"/>
      <c r="C119" s="7"/>
      <c r="D119" s="7"/>
      <c r="E119" s="7"/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5">
      <c r="A120" s="4"/>
      <c r="B120" s="5"/>
      <c r="C120" s="7"/>
      <c r="D120" s="7"/>
      <c r="E120" s="7"/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5">
      <c r="A121" s="4"/>
      <c r="B121" s="5"/>
      <c r="C121" s="7"/>
      <c r="D121" s="7"/>
      <c r="E121" s="7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5">
      <c r="A122" s="4"/>
      <c r="B122" s="5"/>
      <c r="C122" s="7"/>
      <c r="D122" s="7"/>
      <c r="E122" s="7"/>
      <c r="F122" s="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5">
      <c r="A123" s="4"/>
      <c r="B123" s="5"/>
      <c r="C123" s="7"/>
      <c r="D123" s="7"/>
      <c r="E123" s="7"/>
      <c r="F123" s="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5">
      <c r="A124" s="4"/>
      <c r="B124" s="5"/>
      <c r="C124" s="7"/>
      <c r="D124" s="7"/>
      <c r="E124" s="7"/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5">
      <c r="A125" s="4"/>
      <c r="B125" s="5"/>
      <c r="C125" s="7"/>
      <c r="D125" s="7"/>
      <c r="E125" s="7"/>
      <c r="F125" s="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5">
      <c r="A126" s="4"/>
      <c r="B126" s="5"/>
      <c r="C126" s="7"/>
      <c r="D126" s="7"/>
      <c r="E126" s="7"/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5">
      <c r="A127" s="4"/>
      <c r="B127" s="5"/>
      <c r="C127" s="7"/>
      <c r="D127" s="7"/>
      <c r="E127" s="7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5">
      <c r="A128" s="4"/>
      <c r="B128" s="5"/>
      <c r="C128" s="7"/>
      <c r="D128" s="7"/>
      <c r="E128" s="7"/>
      <c r="F128" s="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5">
      <c r="A129" s="4"/>
      <c r="B129" s="5"/>
      <c r="C129" s="7"/>
      <c r="D129" s="7"/>
      <c r="E129" s="7"/>
      <c r="F129" s="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5">
      <c r="A130" s="4"/>
      <c r="B130" s="5"/>
      <c r="C130" s="7"/>
      <c r="D130" s="7"/>
      <c r="E130" s="7"/>
      <c r="F130" s="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5">
      <c r="A131" s="4"/>
      <c r="B131" s="5"/>
      <c r="C131" s="7"/>
      <c r="D131" s="7"/>
      <c r="E131" s="7"/>
      <c r="F131" s="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5">
      <c r="A132" s="4"/>
      <c r="B132" s="5"/>
      <c r="C132" s="7"/>
      <c r="D132" s="7"/>
      <c r="E132" s="7"/>
      <c r="F132" s="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5">
      <c r="A133" s="4"/>
      <c r="B133" s="5"/>
      <c r="C133" s="7"/>
      <c r="D133" s="7"/>
      <c r="E133" s="7"/>
      <c r="F133" s="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5">
      <c r="A134" s="4"/>
      <c r="B134" s="5"/>
      <c r="C134" s="7"/>
      <c r="D134" s="7"/>
      <c r="E134" s="7"/>
      <c r="F134" s="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5">
      <c r="A135" s="4"/>
      <c r="B135" s="5"/>
      <c r="C135" s="7"/>
      <c r="D135" s="7"/>
      <c r="E135" s="7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5">
      <c r="A136" s="4"/>
      <c r="B136" s="5"/>
      <c r="C136" s="7"/>
      <c r="D136" s="7"/>
      <c r="E136" s="7"/>
      <c r="F136" s="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5">
      <c r="A137" s="4"/>
      <c r="B137" s="5"/>
      <c r="C137" s="7"/>
      <c r="D137" s="7"/>
      <c r="E137" s="7"/>
      <c r="F137" s="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5">
      <c r="A138" s="4"/>
      <c r="B138" s="5"/>
      <c r="C138" s="7"/>
      <c r="D138" s="7"/>
      <c r="E138" s="7"/>
      <c r="F138" s="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5">
      <c r="A139" s="4"/>
      <c r="B139" s="5"/>
      <c r="C139" s="7"/>
      <c r="D139" s="7"/>
      <c r="E139" s="7"/>
      <c r="F139" s="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5">
      <c r="A140" s="4"/>
      <c r="B140" s="5"/>
      <c r="C140" s="7"/>
      <c r="D140" s="7"/>
      <c r="E140" s="7"/>
      <c r="F140" s="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5">
      <c r="A141" s="4"/>
      <c r="B141" s="5"/>
      <c r="C141" s="7"/>
      <c r="D141" s="7"/>
      <c r="E141" s="7"/>
      <c r="F141" s="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5">
      <c r="A142" s="4"/>
      <c r="B142" s="5"/>
      <c r="C142" s="7"/>
      <c r="D142" s="7"/>
      <c r="E142" s="7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5">
      <c r="A143" s="4"/>
      <c r="B143" s="5"/>
      <c r="C143" s="7"/>
      <c r="D143" s="7"/>
      <c r="E143" s="7"/>
      <c r="F143" s="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5">
      <c r="A144" s="4"/>
      <c r="B144" s="5"/>
      <c r="C144" s="7"/>
      <c r="D144" s="7"/>
      <c r="E144" s="7"/>
      <c r="F144" s="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5">
      <c r="A145" s="4"/>
      <c r="B145" s="5"/>
      <c r="C145" s="7"/>
      <c r="D145" s="7"/>
      <c r="E145" s="7"/>
      <c r="F145" s="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5">
      <c r="A146" s="4"/>
      <c r="B146" s="5"/>
      <c r="C146" s="7"/>
      <c r="D146" s="7"/>
      <c r="E146" s="7"/>
      <c r="F146" s="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5">
      <c r="A147" s="4"/>
      <c r="B147" s="5"/>
      <c r="C147" s="7"/>
      <c r="D147" s="7"/>
      <c r="E147" s="7"/>
      <c r="F147" s="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5">
      <c r="A148" s="4"/>
      <c r="B148" s="5"/>
      <c r="C148" s="7"/>
      <c r="D148" s="7"/>
      <c r="E148" s="7"/>
      <c r="F148" s="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5">
      <c r="A149" s="4"/>
      <c r="B149" s="5"/>
      <c r="C149" s="7"/>
      <c r="D149" s="7"/>
      <c r="E149" s="7"/>
      <c r="F149" s="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5">
      <c r="A150" s="4"/>
      <c r="B150" s="5"/>
      <c r="C150" s="7"/>
      <c r="D150" s="7"/>
      <c r="E150" s="7"/>
      <c r="F150" s="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5">
      <c r="A151" s="4"/>
      <c r="B151" s="5"/>
      <c r="C151" s="7"/>
      <c r="D151" s="7"/>
      <c r="E151" s="7"/>
      <c r="F151" s="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5">
      <c r="A152" s="4"/>
      <c r="B152" s="5"/>
      <c r="C152" s="7"/>
      <c r="D152" s="7"/>
      <c r="E152" s="7"/>
      <c r="F152" s="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5">
      <c r="A153" s="4"/>
      <c r="B153" s="5"/>
      <c r="C153" s="7"/>
      <c r="D153" s="7"/>
      <c r="E153" s="7"/>
      <c r="F153" s="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5">
      <c r="A154" s="4"/>
      <c r="B154" s="5"/>
      <c r="C154" s="7"/>
      <c r="D154" s="7"/>
      <c r="E154" s="7"/>
      <c r="F154" s="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5">
      <c r="A155" s="4"/>
      <c r="B155" s="5"/>
      <c r="C155" s="7"/>
      <c r="D155" s="7"/>
      <c r="E155" s="7"/>
      <c r="F155" s="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5">
      <c r="A156" s="4"/>
      <c r="B156" s="5"/>
      <c r="C156" s="7"/>
      <c r="D156" s="7"/>
      <c r="E156" s="7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5">
      <c r="A157" s="4"/>
      <c r="B157" s="5"/>
      <c r="C157" s="7"/>
      <c r="D157" s="7"/>
      <c r="E157" s="7"/>
      <c r="F157" s="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5">
      <c r="A158" s="4"/>
      <c r="B158" s="5"/>
      <c r="C158" s="7"/>
      <c r="D158" s="7"/>
      <c r="E158" s="7"/>
      <c r="F158" s="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5">
      <c r="A159" s="4"/>
      <c r="B159" s="5"/>
      <c r="C159" s="7"/>
      <c r="D159" s="7"/>
      <c r="E159" s="7"/>
      <c r="F159" s="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5">
      <c r="A160" s="4"/>
      <c r="B160" s="5"/>
      <c r="C160" s="7"/>
      <c r="D160" s="7"/>
      <c r="E160" s="7"/>
      <c r="F160" s="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5">
      <c r="A161" s="4"/>
      <c r="B161" s="5"/>
      <c r="C161" s="7"/>
      <c r="D161" s="7"/>
      <c r="E161" s="7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5">
      <c r="A162" s="4"/>
      <c r="B162" s="5"/>
      <c r="C162" s="7"/>
      <c r="D162" s="7"/>
      <c r="E162" s="7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5">
      <c r="A163" s="4"/>
      <c r="B163" s="5"/>
      <c r="C163" s="7"/>
      <c r="D163" s="7"/>
      <c r="E163" s="7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5">
      <c r="A164" s="4"/>
      <c r="B164" s="5"/>
      <c r="C164" s="7"/>
      <c r="D164" s="7"/>
      <c r="E164" s="7"/>
      <c r="F164" s="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5">
      <c r="A165" s="4"/>
      <c r="B165" s="5"/>
      <c r="C165" s="7"/>
      <c r="D165" s="7"/>
      <c r="E165" s="7"/>
      <c r="F165" s="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5">
      <c r="A166" s="4"/>
      <c r="B166" s="5"/>
      <c r="C166" s="7"/>
      <c r="D166" s="7"/>
      <c r="E166" s="7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5">
      <c r="A167" s="4"/>
      <c r="B167" s="5"/>
      <c r="C167" s="7"/>
      <c r="D167" s="7"/>
      <c r="E167" s="7"/>
      <c r="F167" s="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5">
      <c r="A168" s="4"/>
      <c r="B168" s="5"/>
      <c r="C168" s="7"/>
      <c r="D168" s="7"/>
      <c r="E168" s="7"/>
      <c r="F168" s="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5">
      <c r="A169" s="4"/>
      <c r="B169" s="5"/>
      <c r="C169" s="7"/>
      <c r="D169" s="7"/>
      <c r="E169" s="7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5">
      <c r="A170" s="4"/>
      <c r="B170" s="5"/>
      <c r="C170" s="7"/>
      <c r="D170" s="7"/>
      <c r="E170" s="7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5">
      <c r="A171" s="4"/>
      <c r="B171" s="5"/>
      <c r="C171" s="7"/>
      <c r="D171" s="7"/>
      <c r="E171" s="7"/>
      <c r="F171" s="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5">
      <c r="A172" s="4"/>
      <c r="B172" s="5"/>
      <c r="C172" s="7"/>
      <c r="D172" s="7"/>
      <c r="E172" s="7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5">
      <c r="A173" s="4"/>
      <c r="B173" s="5"/>
      <c r="C173" s="7"/>
      <c r="D173" s="7"/>
      <c r="E173" s="7"/>
      <c r="F173" s="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5">
      <c r="A174" s="4"/>
      <c r="B174" s="5"/>
      <c r="C174" s="7"/>
      <c r="D174" s="7"/>
      <c r="E174" s="7"/>
      <c r="F174" s="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5">
      <c r="A175" s="4"/>
      <c r="B175" s="5"/>
      <c r="C175" s="7"/>
      <c r="D175" s="7"/>
      <c r="E175" s="7"/>
      <c r="F175" s="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5">
      <c r="A176" s="4"/>
      <c r="B176" s="5"/>
      <c r="C176" s="7"/>
      <c r="D176" s="7"/>
      <c r="E176" s="7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5">
      <c r="A177" s="4"/>
      <c r="B177" s="5"/>
      <c r="C177" s="7"/>
      <c r="D177" s="7"/>
      <c r="E177" s="7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5">
      <c r="A178" s="4"/>
      <c r="B178" s="5"/>
      <c r="C178" s="7"/>
      <c r="D178" s="7"/>
      <c r="E178" s="7"/>
      <c r="F178" s="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5">
      <c r="A179" s="4"/>
      <c r="B179" s="5"/>
      <c r="C179" s="7"/>
      <c r="D179" s="7"/>
      <c r="E179" s="7"/>
      <c r="F179" s="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5">
      <c r="A180" s="4"/>
      <c r="B180" s="5"/>
      <c r="C180" s="7"/>
      <c r="D180" s="7"/>
      <c r="E180" s="7"/>
      <c r="F180" s="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5">
      <c r="A181" s="4"/>
      <c r="B181" s="5"/>
      <c r="C181" s="7"/>
      <c r="D181" s="7"/>
      <c r="E181" s="7"/>
      <c r="F181" s="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5">
      <c r="A182" s="4"/>
      <c r="B182" s="5"/>
      <c r="C182" s="7"/>
      <c r="D182" s="7"/>
      <c r="E182" s="7"/>
      <c r="F182" s="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5">
      <c r="A183" s="4"/>
      <c r="B183" s="5"/>
      <c r="C183" s="7"/>
      <c r="D183" s="7"/>
      <c r="E183" s="7"/>
      <c r="F183" s="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5">
      <c r="A184" s="4"/>
      <c r="B184" s="5"/>
      <c r="C184" s="7"/>
      <c r="D184" s="7"/>
      <c r="E184" s="7"/>
      <c r="F184" s="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5">
      <c r="A185" s="4"/>
      <c r="B185" s="5"/>
      <c r="C185" s="7"/>
      <c r="D185" s="7"/>
      <c r="E185" s="7"/>
      <c r="F185" s="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5">
      <c r="A186" s="4"/>
      <c r="B186" s="5"/>
      <c r="C186" s="7"/>
      <c r="D186" s="7"/>
      <c r="E186" s="7"/>
      <c r="F186" s="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5">
      <c r="A187" s="4"/>
      <c r="B187" s="5"/>
      <c r="C187" s="7"/>
      <c r="D187" s="7"/>
      <c r="E187" s="7"/>
      <c r="F187" s="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5">
      <c r="A188" s="4"/>
      <c r="B188" s="5"/>
      <c r="C188" s="7"/>
      <c r="D188" s="7"/>
      <c r="E188" s="7"/>
      <c r="F188" s="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5">
      <c r="A189" s="4"/>
      <c r="B189" s="5"/>
      <c r="C189" s="7"/>
      <c r="D189" s="7"/>
      <c r="E189" s="7"/>
      <c r="F189" s="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5">
      <c r="A190" s="4"/>
      <c r="B190" s="5"/>
      <c r="C190" s="7"/>
      <c r="D190" s="7"/>
      <c r="E190" s="7"/>
      <c r="F190" s="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5">
      <c r="A191" s="4"/>
      <c r="B191" s="5"/>
      <c r="C191" s="7"/>
      <c r="D191" s="7"/>
      <c r="E191" s="7"/>
      <c r="F191" s="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5">
      <c r="A192" s="4"/>
      <c r="B192" s="5"/>
      <c r="C192" s="7"/>
      <c r="D192" s="7"/>
      <c r="E192" s="7"/>
      <c r="F192" s="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5">
      <c r="A193" s="4"/>
      <c r="B193" s="5"/>
      <c r="C193" s="7"/>
      <c r="D193" s="7"/>
      <c r="E193" s="7"/>
      <c r="F193" s="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5">
      <c r="A194" s="4"/>
      <c r="B194" s="5"/>
      <c r="C194" s="7"/>
      <c r="D194" s="7"/>
      <c r="E194" s="7"/>
      <c r="F194" s="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5">
      <c r="A195" s="4"/>
      <c r="B195" s="5"/>
      <c r="C195" s="7"/>
      <c r="D195" s="7"/>
      <c r="E195" s="7"/>
      <c r="F195" s="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5">
      <c r="A196" s="4"/>
      <c r="B196" s="5"/>
      <c r="C196" s="7"/>
      <c r="D196" s="7"/>
      <c r="E196" s="7"/>
      <c r="F196" s="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5">
      <c r="A197" s="4"/>
      <c r="B197" s="5"/>
      <c r="C197" s="7"/>
      <c r="D197" s="7"/>
      <c r="E197" s="7"/>
      <c r="F197" s="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5">
      <c r="A198" s="4"/>
      <c r="B198" s="5"/>
      <c r="C198" s="7"/>
      <c r="D198" s="7"/>
      <c r="E198" s="7"/>
      <c r="F198" s="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5">
      <c r="A199" s="4"/>
      <c r="B199" s="5"/>
      <c r="C199" s="7"/>
      <c r="D199" s="7"/>
      <c r="E199" s="7"/>
      <c r="F199" s="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5">
      <c r="A200" s="4"/>
      <c r="B200" s="5"/>
      <c r="C200" s="7"/>
      <c r="D200" s="7"/>
      <c r="E200" s="7"/>
      <c r="F200" s="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5">
      <c r="A201" s="4"/>
      <c r="B201" s="5"/>
      <c r="C201" s="7"/>
      <c r="D201" s="7"/>
      <c r="E201" s="7"/>
      <c r="F201" s="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5">
      <c r="A202" s="4"/>
      <c r="B202" s="5"/>
      <c r="C202" s="7"/>
      <c r="D202" s="7"/>
      <c r="E202" s="7"/>
      <c r="F202" s="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5">
      <c r="A203" s="4"/>
      <c r="B203" s="5"/>
      <c r="C203" s="7"/>
      <c r="D203" s="7"/>
      <c r="E203" s="7"/>
      <c r="F203" s="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5">
      <c r="A204" s="4"/>
      <c r="B204" s="5"/>
      <c r="C204" s="7"/>
      <c r="D204" s="7"/>
      <c r="E204" s="7"/>
      <c r="F204" s="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5">
      <c r="A205" s="4"/>
      <c r="B205" s="5"/>
      <c r="C205" s="7"/>
      <c r="D205" s="7"/>
      <c r="E205" s="7"/>
      <c r="F205" s="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5">
      <c r="A206" s="4"/>
      <c r="B206" s="5"/>
      <c r="C206" s="7"/>
      <c r="D206" s="7"/>
      <c r="E206" s="7"/>
      <c r="F206" s="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5">
      <c r="A207" s="4"/>
      <c r="B207" s="5"/>
      <c r="C207" s="7"/>
      <c r="D207" s="7"/>
      <c r="E207" s="7"/>
      <c r="F207" s="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5">
      <c r="A208" s="4"/>
      <c r="B208" s="5"/>
      <c r="C208" s="7"/>
      <c r="D208" s="7"/>
      <c r="E208" s="7"/>
      <c r="F208" s="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5">
      <c r="A209" s="4"/>
      <c r="B209" s="5"/>
      <c r="C209" s="7"/>
      <c r="D209" s="7"/>
      <c r="E209" s="7"/>
      <c r="F209" s="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5">
      <c r="A210" s="4"/>
      <c r="B210" s="5"/>
      <c r="C210" s="7"/>
      <c r="D210" s="7"/>
      <c r="E210" s="7"/>
      <c r="F210" s="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5">
      <c r="A211" s="4"/>
      <c r="B211" s="5"/>
      <c r="C211" s="7"/>
      <c r="D211" s="7"/>
      <c r="E211" s="7"/>
      <c r="F211" s="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5">
      <c r="A212" s="4"/>
      <c r="B212" s="5"/>
      <c r="C212" s="7"/>
      <c r="D212" s="7"/>
      <c r="E212" s="7"/>
      <c r="F212" s="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5">
      <c r="A213" s="4"/>
      <c r="B213" s="5"/>
      <c r="C213" s="7"/>
      <c r="D213" s="7"/>
      <c r="E213" s="7"/>
      <c r="F213" s="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5">
      <c r="A214" s="4"/>
      <c r="B214" s="5"/>
      <c r="C214" s="7"/>
      <c r="D214" s="7"/>
      <c r="E214" s="7"/>
      <c r="F214" s="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5">
      <c r="A215" s="4"/>
      <c r="B215" s="5"/>
      <c r="C215" s="7"/>
      <c r="D215" s="7"/>
      <c r="E215" s="7"/>
      <c r="F215" s="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5">
      <c r="A216" s="4"/>
      <c r="B216" s="5"/>
      <c r="C216" s="7"/>
      <c r="D216" s="7"/>
      <c r="E216" s="7"/>
      <c r="F216" s="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5">
      <c r="A217" s="4"/>
      <c r="B217" s="5"/>
      <c r="C217" s="7"/>
      <c r="D217" s="7"/>
      <c r="E217" s="7"/>
      <c r="F217" s="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5">
      <c r="A218" s="4"/>
      <c r="B218" s="5"/>
      <c r="C218" s="7"/>
      <c r="D218" s="7"/>
      <c r="E218" s="7"/>
      <c r="F218" s="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5">
      <c r="A219" s="4"/>
      <c r="B219" s="5"/>
      <c r="C219" s="7"/>
      <c r="D219" s="7"/>
      <c r="E219" s="7"/>
      <c r="F219" s="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5">
      <c r="A220" s="4"/>
      <c r="B220" s="5"/>
      <c r="C220" s="7"/>
      <c r="D220" s="7"/>
      <c r="E220" s="7"/>
      <c r="F220" s="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5">
      <c r="A221" s="4"/>
      <c r="B221" s="5"/>
      <c r="C221" s="7"/>
      <c r="D221" s="7"/>
      <c r="E221" s="7"/>
      <c r="F221" s="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5">
      <c r="A222" s="4"/>
      <c r="B222" s="5"/>
      <c r="C222" s="7"/>
      <c r="D222" s="7"/>
      <c r="E222" s="7"/>
      <c r="F222" s="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5">
      <c r="A223" s="4"/>
      <c r="B223" s="5"/>
      <c r="C223" s="7"/>
      <c r="D223" s="7"/>
      <c r="E223" s="7"/>
      <c r="F223" s="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5">
      <c r="A224" s="4"/>
      <c r="B224" s="5"/>
      <c r="C224" s="7"/>
      <c r="D224" s="7"/>
      <c r="E224" s="7"/>
      <c r="F224" s="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5">
      <c r="A225" s="4"/>
      <c r="B225" s="5"/>
      <c r="C225" s="7"/>
      <c r="D225" s="7"/>
      <c r="E225" s="7"/>
      <c r="F225" s="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5">
      <c r="A226" s="4"/>
      <c r="B226" s="5"/>
      <c r="C226" s="7"/>
      <c r="D226" s="7"/>
      <c r="E226" s="7"/>
      <c r="F226" s="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5">
      <c r="A227" s="4"/>
      <c r="B227" s="5"/>
      <c r="C227" s="7"/>
      <c r="D227" s="7"/>
      <c r="E227" s="7"/>
      <c r="F227" s="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5">
      <c r="A228" s="4"/>
      <c r="B228" s="5"/>
      <c r="C228" s="7"/>
      <c r="D228" s="7"/>
      <c r="E228" s="7"/>
      <c r="F228" s="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5">
      <c r="A229" s="4"/>
      <c r="B229" s="5"/>
      <c r="C229" s="7"/>
      <c r="D229" s="7"/>
      <c r="E229" s="7"/>
      <c r="F229" s="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5">
      <c r="A230" s="4"/>
      <c r="B230" s="5"/>
      <c r="C230" s="7"/>
      <c r="D230" s="7"/>
      <c r="E230" s="7"/>
      <c r="F230" s="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5">
      <c r="A231" s="4"/>
      <c r="B231" s="5"/>
      <c r="C231" s="7"/>
      <c r="D231" s="7"/>
      <c r="E231" s="7"/>
      <c r="F231" s="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5">
      <c r="A232" s="4"/>
      <c r="B232" s="5"/>
      <c r="C232" s="7"/>
      <c r="D232" s="7"/>
      <c r="E232" s="7"/>
      <c r="F232" s="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5">
      <c r="A233" s="4"/>
      <c r="B233" s="5"/>
      <c r="C233" s="7"/>
      <c r="D233" s="7"/>
      <c r="E233" s="7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5">
      <c r="A234" s="4"/>
      <c r="B234" s="5"/>
      <c r="C234" s="7"/>
      <c r="D234" s="7"/>
      <c r="E234" s="7"/>
      <c r="F234" s="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5">
      <c r="A235" s="4"/>
      <c r="B235" s="5"/>
      <c r="C235" s="7"/>
      <c r="D235" s="7"/>
      <c r="E235" s="7"/>
      <c r="F235" s="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5">
      <c r="A236" s="4"/>
      <c r="B236" s="5"/>
      <c r="C236" s="7"/>
      <c r="D236" s="7"/>
      <c r="E236" s="7"/>
      <c r="F236" s="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5">
      <c r="A237" s="4"/>
      <c r="B237" s="5"/>
      <c r="C237" s="7"/>
      <c r="D237" s="7"/>
      <c r="E237" s="7"/>
      <c r="F237" s="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5">
      <c r="A238" s="4"/>
      <c r="B238" s="5"/>
      <c r="C238" s="7"/>
      <c r="D238" s="7"/>
      <c r="E238" s="7"/>
      <c r="F238" s="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5">
      <c r="A239" s="4"/>
      <c r="B239" s="5"/>
      <c r="C239" s="7"/>
      <c r="D239" s="7"/>
      <c r="E239" s="7"/>
      <c r="F239" s="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5">
      <c r="A240" s="4"/>
      <c r="B240" s="5"/>
      <c r="C240" s="7"/>
      <c r="D240" s="7"/>
      <c r="E240" s="7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5">
      <c r="A241" s="4"/>
      <c r="B241" s="5"/>
      <c r="C241" s="7"/>
      <c r="D241" s="7"/>
      <c r="E241" s="7"/>
      <c r="F241" s="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5">
      <c r="A242" s="4"/>
      <c r="B242" s="5"/>
      <c r="C242" s="7"/>
      <c r="D242" s="7"/>
      <c r="E242" s="7"/>
      <c r="F242" s="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5">
      <c r="A243" s="4"/>
      <c r="B243" s="5"/>
      <c r="C243" s="7"/>
      <c r="D243" s="7"/>
      <c r="E243" s="7"/>
      <c r="F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5">
      <c r="A244" s="4"/>
      <c r="B244" s="5"/>
      <c r="C244" s="7"/>
      <c r="D244" s="7"/>
      <c r="E244" s="7"/>
      <c r="F244" s="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5">
      <c r="A245" s="4"/>
      <c r="B245" s="5"/>
      <c r="C245" s="7"/>
      <c r="D245" s="7"/>
      <c r="E245" s="7"/>
      <c r="F245" s="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5">
      <c r="A246" s="4"/>
      <c r="B246" s="5"/>
      <c r="C246" s="7"/>
      <c r="D246" s="7"/>
      <c r="E246" s="7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5">
      <c r="A247" s="4"/>
      <c r="B247" s="5"/>
      <c r="C247" s="7"/>
      <c r="D247" s="7"/>
      <c r="E247" s="7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5">
      <c r="A248" s="4"/>
      <c r="B248" s="5"/>
      <c r="C248" s="7"/>
      <c r="D248" s="7"/>
      <c r="E248" s="7"/>
      <c r="F248" s="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5">
      <c r="A249" s="4"/>
      <c r="B249" s="5"/>
      <c r="C249" s="7"/>
      <c r="D249" s="7"/>
      <c r="E249" s="7"/>
      <c r="F249" s="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5">
      <c r="A250" s="4"/>
      <c r="B250" s="5"/>
      <c r="C250" s="7"/>
      <c r="D250" s="7"/>
      <c r="E250" s="7"/>
      <c r="F250" s="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5">
      <c r="A251" s="4"/>
      <c r="B251" s="5"/>
      <c r="C251" s="7"/>
      <c r="D251" s="7"/>
      <c r="E251" s="7"/>
      <c r="F251" s="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5">
      <c r="A252" s="4"/>
      <c r="B252" s="5"/>
      <c r="C252" s="7"/>
      <c r="D252" s="7"/>
      <c r="E252" s="7"/>
      <c r="F252" s="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5">
      <c r="A253" s="4"/>
      <c r="B253" s="5"/>
      <c r="C253" s="7"/>
      <c r="D253" s="7"/>
      <c r="E253" s="7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5">
      <c r="A254" s="4"/>
      <c r="B254" s="5"/>
      <c r="C254" s="7"/>
      <c r="D254" s="7"/>
      <c r="E254" s="7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5">
      <c r="A255" s="4"/>
      <c r="B255" s="5"/>
      <c r="C255" s="7"/>
      <c r="D255" s="7"/>
      <c r="E255" s="7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5">
      <c r="A256" s="4"/>
      <c r="B256" s="5"/>
      <c r="C256" s="7"/>
      <c r="D256" s="7"/>
      <c r="E256" s="7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5">
      <c r="A257" s="4"/>
      <c r="B257" s="5"/>
      <c r="C257" s="7"/>
      <c r="D257" s="7"/>
      <c r="E257" s="7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5">
      <c r="A258" s="4"/>
      <c r="B258" s="5"/>
      <c r="C258" s="7"/>
      <c r="D258" s="7"/>
      <c r="E258" s="7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5">
      <c r="A259" s="4"/>
      <c r="B259" s="5"/>
      <c r="C259" s="7"/>
      <c r="D259" s="7"/>
      <c r="E259" s="7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5">
      <c r="A260" s="4"/>
      <c r="B260" s="5"/>
      <c r="C260" s="7"/>
      <c r="D260" s="7"/>
      <c r="E260" s="7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5">
      <c r="A261" s="4"/>
      <c r="B261" s="5"/>
      <c r="C261" s="7"/>
      <c r="D261" s="7"/>
      <c r="E261" s="7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5">
      <c r="A262" s="4"/>
      <c r="B262" s="5"/>
      <c r="C262" s="7"/>
      <c r="D262" s="7"/>
      <c r="E262" s="7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5">
      <c r="A263" s="4"/>
      <c r="B263" s="5"/>
      <c r="C263" s="7"/>
      <c r="D263" s="7"/>
      <c r="E263" s="7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5">
      <c r="A264" s="4"/>
      <c r="B264" s="5"/>
      <c r="C264" s="7"/>
      <c r="D264" s="7"/>
      <c r="E264" s="7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5">
      <c r="A265" s="4"/>
      <c r="B265" s="5"/>
      <c r="C265" s="7"/>
      <c r="D265" s="7"/>
      <c r="E265" s="7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5">
      <c r="A266" s="4"/>
      <c r="B266" s="5"/>
      <c r="C266" s="7"/>
      <c r="D266" s="7"/>
      <c r="E266" s="7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5">
      <c r="A267" s="4"/>
      <c r="B267" s="5"/>
      <c r="C267" s="7"/>
      <c r="D267" s="7"/>
      <c r="E267" s="7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5">
      <c r="A268" s="4"/>
      <c r="B268" s="5"/>
      <c r="C268" s="7"/>
      <c r="D268" s="7"/>
      <c r="E268" s="7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5">
      <c r="A269" s="4"/>
      <c r="B269" s="5"/>
      <c r="C269" s="7"/>
      <c r="D269" s="7"/>
      <c r="E269" s="7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5">
      <c r="A270" s="4"/>
      <c r="B270" s="5"/>
      <c r="C270" s="7"/>
      <c r="D270" s="7"/>
      <c r="E270" s="7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5">
      <c r="A271" s="4"/>
      <c r="B271" s="5"/>
      <c r="C271" s="7"/>
      <c r="D271" s="7"/>
      <c r="E271" s="7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5">
      <c r="A272" s="4"/>
      <c r="B272" s="5"/>
      <c r="C272" s="7"/>
      <c r="D272" s="7"/>
      <c r="E272" s="7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5">
      <c r="A273" s="4"/>
      <c r="B273" s="5"/>
      <c r="C273" s="7"/>
      <c r="D273" s="7"/>
      <c r="E273" s="7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5">
      <c r="A274" s="4"/>
      <c r="B274" s="5"/>
      <c r="C274" s="7"/>
      <c r="D274" s="7"/>
      <c r="E274" s="7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5">
      <c r="A275" s="4"/>
      <c r="B275" s="5"/>
      <c r="C275" s="7"/>
      <c r="D275" s="7"/>
      <c r="E275" s="7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5">
      <c r="A276" s="4"/>
      <c r="B276" s="5"/>
      <c r="C276" s="7"/>
      <c r="D276" s="7"/>
      <c r="E276" s="7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5">
      <c r="A277" s="4"/>
      <c r="B277" s="5"/>
      <c r="C277" s="7"/>
      <c r="D277" s="7"/>
      <c r="E277" s="7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5">
      <c r="A278" s="4"/>
      <c r="B278" s="5"/>
      <c r="C278" s="7"/>
      <c r="D278" s="7"/>
      <c r="E278" s="7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5">
      <c r="A279" s="4"/>
      <c r="B279" s="5"/>
      <c r="C279" s="7"/>
      <c r="D279" s="7"/>
      <c r="E279" s="7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5">
      <c r="A280" s="4"/>
      <c r="B280" s="5"/>
      <c r="C280" s="7"/>
      <c r="D280" s="7"/>
      <c r="E280" s="7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5">
      <c r="A281" s="4"/>
      <c r="B281" s="5"/>
      <c r="C281" s="7"/>
      <c r="D281" s="7"/>
      <c r="E281" s="7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5">
      <c r="A282" s="4"/>
      <c r="B282" s="5"/>
      <c r="C282" s="7"/>
      <c r="D282" s="7"/>
      <c r="E282" s="7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5">
      <c r="A283" s="4"/>
      <c r="B283" s="5"/>
      <c r="C283" s="7"/>
      <c r="D283" s="7"/>
      <c r="E283" s="7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5">
      <c r="A284" s="4"/>
      <c r="B284" s="5"/>
      <c r="C284" s="7"/>
      <c r="D284" s="7"/>
      <c r="E284" s="7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5">
      <c r="A285" s="4"/>
      <c r="B285" s="5"/>
      <c r="C285" s="7"/>
      <c r="D285" s="7"/>
      <c r="E285" s="7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5">
      <c r="A286" s="4"/>
      <c r="B286" s="5"/>
      <c r="C286" s="7"/>
      <c r="D286" s="7"/>
      <c r="E286" s="7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5">
      <c r="A287" s="4"/>
      <c r="B287" s="5"/>
      <c r="C287" s="7"/>
      <c r="D287" s="7"/>
      <c r="E287" s="7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5">
      <c r="A288" s="4"/>
      <c r="B288" s="5"/>
      <c r="C288" s="7"/>
      <c r="D288" s="7"/>
      <c r="E288" s="7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5">
      <c r="A289" s="4"/>
      <c r="B289" s="5"/>
      <c r="C289" s="7"/>
      <c r="D289" s="7"/>
      <c r="E289" s="7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5">
      <c r="A290" s="4"/>
      <c r="B290" s="5"/>
      <c r="C290" s="7"/>
      <c r="D290" s="7"/>
      <c r="E290" s="7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5">
      <c r="A291" s="4"/>
      <c r="B291" s="5"/>
      <c r="C291" s="7"/>
      <c r="D291" s="7"/>
      <c r="E291" s="7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5">
      <c r="A292" s="4"/>
      <c r="B292" s="5"/>
      <c r="C292" s="7"/>
      <c r="D292" s="7"/>
      <c r="E292" s="7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5">
      <c r="A293" s="4"/>
      <c r="B293" s="5"/>
      <c r="C293" s="7"/>
      <c r="D293" s="7"/>
      <c r="E293" s="7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5">
      <c r="A294" s="4"/>
      <c r="B294" s="5"/>
      <c r="C294" s="7"/>
      <c r="D294" s="7"/>
      <c r="E294" s="7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5">
      <c r="A295" s="4"/>
      <c r="B295" s="5"/>
      <c r="C295" s="7"/>
      <c r="D295" s="7"/>
      <c r="E295" s="7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5">
      <c r="A296" s="4"/>
      <c r="B296" s="5"/>
      <c r="C296" s="7"/>
      <c r="D296" s="7"/>
      <c r="E296" s="7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5">
      <c r="A297" s="4"/>
      <c r="B297" s="5"/>
      <c r="C297" s="7"/>
      <c r="D297" s="7"/>
      <c r="E297" s="7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5">
      <c r="A298" s="4"/>
      <c r="B298" s="5"/>
      <c r="C298" s="7"/>
      <c r="D298" s="7"/>
      <c r="E298" s="7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5">
      <c r="A299" s="4"/>
      <c r="B299" s="5"/>
      <c r="C299" s="7"/>
      <c r="D299" s="7"/>
      <c r="E299" s="7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5">
      <c r="A300" s="4"/>
      <c r="B300" s="5"/>
      <c r="C300" s="7"/>
      <c r="D300" s="7"/>
      <c r="E300" s="7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5">
      <c r="A301" s="4"/>
      <c r="B301" s="5"/>
      <c r="C301" s="7"/>
      <c r="D301" s="7"/>
      <c r="E301" s="7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5">
      <c r="A302" s="4"/>
      <c r="B302" s="5"/>
      <c r="C302" s="7"/>
      <c r="D302" s="7"/>
      <c r="E302" s="7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5">
      <c r="A303" s="4"/>
      <c r="B303" s="5"/>
      <c r="C303" s="7"/>
      <c r="D303" s="7"/>
      <c r="E303" s="7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5">
      <c r="A304" s="4"/>
      <c r="B304" s="5"/>
      <c r="C304" s="7"/>
      <c r="D304" s="7"/>
      <c r="E304" s="7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5">
      <c r="A305" s="4"/>
      <c r="B305" s="5"/>
      <c r="C305" s="7"/>
      <c r="D305" s="7"/>
      <c r="E305" s="7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5">
      <c r="A306" s="4"/>
      <c r="B306" s="5"/>
      <c r="C306" s="7"/>
      <c r="D306" s="7"/>
      <c r="E306" s="7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5">
      <c r="A307" s="4"/>
      <c r="B307" s="5"/>
      <c r="C307" s="7"/>
      <c r="D307" s="7"/>
      <c r="E307" s="7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5">
      <c r="A308" s="4"/>
      <c r="B308" s="5"/>
      <c r="C308" s="7"/>
      <c r="D308" s="7"/>
      <c r="E308" s="7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5">
      <c r="A309" s="4"/>
      <c r="B309" s="5"/>
      <c r="C309" s="7"/>
      <c r="D309" s="7"/>
      <c r="E309" s="7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5">
      <c r="A310" s="4"/>
      <c r="B310" s="5"/>
      <c r="C310" s="7"/>
      <c r="D310" s="7"/>
      <c r="E310" s="7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5">
      <c r="A311" s="4"/>
      <c r="B311" s="5"/>
      <c r="C311" s="7"/>
      <c r="D311" s="7"/>
      <c r="E311" s="7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5">
      <c r="A312" s="4"/>
      <c r="B312" s="5"/>
      <c r="C312" s="7"/>
      <c r="D312" s="7"/>
      <c r="E312" s="7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5">
      <c r="A313" s="4"/>
      <c r="B313" s="5"/>
      <c r="C313" s="7"/>
      <c r="D313" s="7"/>
      <c r="E313" s="7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5">
      <c r="A314" s="4"/>
      <c r="B314" s="5"/>
      <c r="C314" s="7"/>
      <c r="D314" s="7"/>
      <c r="E314" s="7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5">
      <c r="A315" s="4"/>
      <c r="B315" s="5"/>
      <c r="C315" s="7"/>
      <c r="D315" s="7"/>
      <c r="E315" s="7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5">
      <c r="A316" s="4"/>
      <c r="B316" s="5"/>
      <c r="C316" s="7"/>
      <c r="D316" s="7"/>
      <c r="E316" s="7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5">
      <c r="A317" s="4"/>
      <c r="B317" s="5"/>
      <c r="C317" s="7"/>
      <c r="D317" s="7"/>
      <c r="E317" s="7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5">
      <c r="A318" s="4"/>
      <c r="B318" s="5"/>
      <c r="C318" s="7"/>
      <c r="D318" s="7"/>
      <c r="E318" s="7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5">
      <c r="A319" s="4"/>
      <c r="B319" s="5"/>
      <c r="C319" s="7"/>
      <c r="D319" s="7"/>
      <c r="E319" s="7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5">
      <c r="A320" s="4"/>
      <c r="B320" s="5"/>
      <c r="C320" s="7"/>
      <c r="D320" s="7"/>
      <c r="E320" s="7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5">
      <c r="A321" s="4"/>
      <c r="B321" s="5"/>
      <c r="C321" s="7"/>
      <c r="D321" s="7"/>
      <c r="E321" s="7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5">
      <c r="A322" s="4"/>
      <c r="B322" s="5"/>
      <c r="C322" s="7"/>
      <c r="D322" s="7"/>
      <c r="E322" s="7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5">
      <c r="A323" s="4"/>
      <c r="B323" s="5"/>
      <c r="C323" s="7"/>
      <c r="D323" s="7"/>
      <c r="E323" s="7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5">
      <c r="A324" s="4"/>
      <c r="B324" s="5"/>
      <c r="C324" s="7"/>
      <c r="D324" s="7"/>
      <c r="E324" s="7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5">
      <c r="A325" s="4"/>
      <c r="B325" s="5"/>
      <c r="C325" s="7"/>
      <c r="D325" s="7"/>
      <c r="E325" s="7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5">
      <c r="A326" s="4"/>
      <c r="B326" s="5"/>
      <c r="C326" s="7"/>
      <c r="D326" s="7"/>
      <c r="E326" s="7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5">
      <c r="A327" s="4"/>
      <c r="B327" s="5"/>
      <c r="C327" s="7"/>
      <c r="D327" s="7"/>
      <c r="E327" s="7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5">
      <c r="A328" s="4"/>
      <c r="B328" s="5"/>
      <c r="C328" s="7"/>
      <c r="D328" s="7"/>
      <c r="E328" s="7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5">
      <c r="A329" s="4"/>
      <c r="B329" s="5"/>
      <c r="C329" s="7"/>
      <c r="D329" s="7"/>
      <c r="E329" s="7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5">
      <c r="A330" s="4"/>
      <c r="B330" s="5"/>
      <c r="C330" s="7"/>
      <c r="D330" s="7"/>
      <c r="E330" s="7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5">
      <c r="A331" s="4"/>
      <c r="B331" s="5"/>
      <c r="C331" s="7"/>
      <c r="D331" s="7"/>
      <c r="E331" s="7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5">
      <c r="A332" s="4"/>
      <c r="B332" s="5"/>
      <c r="C332" s="7"/>
      <c r="D332" s="7"/>
      <c r="E332" s="7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5">
      <c r="A333" s="4"/>
      <c r="B333" s="5"/>
      <c r="C333" s="7"/>
      <c r="D333" s="7"/>
      <c r="E333" s="7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5">
      <c r="A334" s="4"/>
      <c r="B334" s="5"/>
      <c r="C334" s="7"/>
      <c r="D334" s="7"/>
      <c r="E334" s="7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5">
      <c r="A335" s="4"/>
      <c r="B335" s="5"/>
      <c r="C335" s="7"/>
      <c r="D335" s="7"/>
      <c r="E335" s="7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5">
      <c r="A336" s="4"/>
      <c r="B336" s="5"/>
      <c r="C336" s="7"/>
      <c r="D336" s="7"/>
      <c r="E336" s="7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5">
      <c r="A337" s="4"/>
      <c r="B337" s="5"/>
      <c r="C337" s="7"/>
      <c r="D337" s="7"/>
      <c r="E337" s="7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5">
      <c r="A338" s="4"/>
      <c r="B338" s="5"/>
      <c r="C338" s="7"/>
      <c r="D338" s="7"/>
      <c r="E338" s="7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5">
      <c r="A339" s="4"/>
      <c r="B339" s="5"/>
      <c r="C339" s="7"/>
      <c r="D339" s="7"/>
      <c r="E339" s="7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5">
      <c r="A340" s="4"/>
      <c r="B340" s="5"/>
      <c r="C340" s="7"/>
      <c r="D340" s="7"/>
      <c r="E340" s="7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5">
      <c r="A341" s="4"/>
      <c r="B341" s="5"/>
      <c r="C341" s="7"/>
      <c r="D341" s="7"/>
      <c r="E341" s="7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5">
      <c r="A342" s="4"/>
      <c r="B342" s="5"/>
      <c r="C342" s="7"/>
      <c r="D342" s="7"/>
      <c r="E342" s="7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5">
      <c r="A343" s="4"/>
      <c r="B343" s="5"/>
      <c r="C343" s="7"/>
      <c r="D343" s="7"/>
      <c r="E343" s="7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5">
      <c r="A344" s="4"/>
      <c r="B344" s="5"/>
      <c r="C344" s="7"/>
      <c r="D344" s="7"/>
      <c r="E344" s="7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5">
      <c r="A345" s="4"/>
      <c r="B345" s="5"/>
      <c r="C345" s="7"/>
      <c r="D345" s="7"/>
      <c r="E345" s="7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5">
      <c r="A346" s="4"/>
      <c r="B346" s="5"/>
      <c r="C346" s="7"/>
      <c r="D346" s="7"/>
      <c r="E346" s="7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5">
      <c r="A347" s="4"/>
      <c r="B347" s="5"/>
      <c r="C347" s="7"/>
      <c r="D347" s="7"/>
      <c r="E347" s="7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5">
      <c r="A348" s="4"/>
      <c r="B348" s="5"/>
      <c r="C348" s="7"/>
      <c r="D348" s="7"/>
      <c r="E348" s="7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5">
      <c r="A349" s="4"/>
      <c r="B349" s="5"/>
      <c r="C349" s="7"/>
      <c r="D349" s="7"/>
      <c r="E349" s="7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5">
      <c r="A350" s="4"/>
      <c r="B350" s="5"/>
      <c r="C350" s="7"/>
      <c r="D350" s="7"/>
      <c r="E350" s="7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5">
      <c r="A351" s="4"/>
      <c r="B351" s="5"/>
      <c r="C351" s="7"/>
      <c r="D351" s="7"/>
      <c r="E351" s="7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5">
      <c r="A352" s="4"/>
      <c r="B352" s="5"/>
      <c r="C352" s="7"/>
      <c r="D352" s="7"/>
      <c r="E352" s="7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5">
      <c r="A353" s="4"/>
      <c r="B353" s="5"/>
      <c r="C353" s="7"/>
      <c r="D353" s="7"/>
      <c r="E353" s="7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5">
      <c r="A354" s="4"/>
      <c r="B354" s="5"/>
      <c r="C354" s="7"/>
      <c r="D354" s="7"/>
      <c r="E354" s="7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5">
      <c r="A355" s="4"/>
      <c r="B355" s="5"/>
      <c r="C355" s="7"/>
      <c r="D355" s="7"/>
      <c r="E355" s="7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5">
      <c r="A356" s="4"/>
      <c r="B356" s="5"/>
      <c r="C356" s="7"/>
      <c r="D356" s="7"/>
      <c r="E356" s="7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5">
      <c r="A357" s="4"/>
      <c r="B357" s="5"/>
      <c r="C357" s="7"/>
      <c r="D357" s="7"/>
      <c r="E357" s="7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5">
      <c r="A358" s="4"/>
      <c r="B358" s="5"/>
      <c r="C358" s="7"/>
      <c r="D358" s="7"/>
      <c r="E358" s="7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5">
      <c r="A359" s="4"/>
      <c r="B359" s="5"/>
      <c r="C359" s="7"/>
      <c r="D359" s="7"/>
      <c r="E359" s="7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5">
      <c r="A360" s="4"/>
      <c r="B360" s="5"/>
      <c r="C360" s="7"/>
      <c r="D360" s="7"/>
      <c r="E360" s="7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5">
      <c r="A361" s="4"/>
      <c r="B361" s="5"/>
      <c r="C361" s="7"/>
      <c r="D361" s="7"/>
      <c r="E361" s="7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5">
      <c r="A362" s="4"/>
      <c r="B362" s="5"/>
      <c r="C362" s="7"/>
      <c r="D362" s="7"/>
      <c r="E362" s="7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5">
      <c r="A363" s="4"/>
      <c r="B363" s="5"/>
      <c r="C363" s="7"/>
      <c r="D363" s="7"/>
      <c r="E363" s="7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5">
      <c r="A364" s="4"/>
      <c r="B364" s="5"/>
      <c r="C364" s="7"/>
      <c r="D364" s="7"/>
      <c r="E364" s="7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5">
      <c r="A365" s="4"/>
      <c r="B365" s="5"/>
      <c r="C365" s="7"/>
      <c r="D365" s="7"/>
      <c r="E365" s="7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5">
      <c r="A366" s="4"/>
      <c r="B366" s="5"/>
      <c r="C366" s="7"/>
      <c r="D366" s="7"/>
      <c r="E366" s="7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5">
      <c r="A367" s="4"/>
      <c r="B367" s="5"/>
      <c r="C367" s="7"/>
      <c r="D367" s="7"/>
      <c r="E367" s="7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5">
      <c r="A368" s="4"/>
      <c r="B368" s="5"/>
      <c r="C368" s="7"/>
      <c r="D368" s="7"/>
      <c r="E368" s="7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5">
      <c r="A369" s="4"/>
      <c r="B369" s="5"/>
      <c r="C369" s="7"/>
      <c r="D369" s="7"/>
      <c r="E369" s="7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5">
      <c r="A370" s="4"/>
      <c r="B370" s="5"/>
      <c r="C370" s="7"/>
      <c r="D370" s="7"/>
      <c r="E370" s="7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5">
      <c r="A371" s="4"/>
      <c r="B371" s="5"/>
      <c r="C371" s="7"/>
      <c r="D371" s="7"/>
      <c r="E371" s="7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5">
      <c r="A372" s="4"/>
      <c r="B372" s="5"/>
      <c r="C372" s="7"/>
      <c r="D372" s="7"/>
      <c r="E372" s="7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5">
      <c r="A373" s="4"/>
      <c r="B373" s="5"/>
      <c r="C373" s="7"/>
      <c r="D373" s="7"/>
      <c r="E373" s="7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5">
      <c r="A374" s="4"/>
      <c r="B374" s="5"/>
      <c r="C374" s="7"/>
      <c r="D374" s="7"/>
      <c r="E374" s="7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5">
      <c r="A375" s="4"/>
      <c r="B375" s="5"/>
      <c r="C375" s="7"/>
      <c r="D375" s="7"/>
      <c r="E375" s="7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5">
      <c r="A376" s="4"/>
      <c r="B376" s="5"/>
      <c r="C376" s="7"/>
      <c r="D376" s="7"/>
      <c r="E376" s="7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5">
      <c r="A377" s="4"/>
      <c r="B377" s="5"/>
      <c r="C377" s="7"/>
      <c r="D377" s="7"/>
      <c r="E377" s="7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5">
      <c r="A378" s="4"/>
      <c r="B378" s="5"/>
      <c r="C378" s="7"/>
      <c r="D378" s="7"/>
      <c r="E378" s="7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5">
      <c r="A379" s="4"/>
      <c r="B379" s="5"/>
      <c r="C379" s="7"/>
      <c r="D379" s="7"/>
      <c r="E379" s="7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5">
      <c r="A380" s="4"/>
      <c r="B380" s="5"/>
      <c r="C380" s="7"/>
      <c r="D380" s="7"/>
      <c r="E380" s="7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5">
      <c r="A381" s="4"/>
      <c r="B381" s="5"/>
      <c r="C381" s="7"/>
      <c r="D381" s="7"/>
      <c r="E381" s="7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5">
      <c r="A382" s="4"/>
      <c r="B382" s="5"/>
      <c r="C382" s="7"/>
      <c r="D382" s="7"/>
      <c r="E382" s="7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5">
      <c r="A383" s="4"/>
      <c r="B383" s="5"/>
      <c r="C383" s="7"/>
      <c r="D383" s="7"/>
      <c r="E383" s="7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5">
      <c r="A384" s="4"/>
      <c r="B384" s="5"/>
      <c r="C384" s="7"/>
      <c r="D384" s="7"/>
      <c r="E384" s="7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5">
      <c r="A385" s="4"/>
      <c r="B385" s="5"/>
      <c r="C385" s="7"/>
      <c r="D385" s="7"/>
      <c r="E385" s="7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5">
      <c r="A386" s="4"/>
      <c r="B386" s="5"/>
      <c r="C386" s="7"/>
      <c r="D386" s="7"/>
      <c r="E386" s="7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5">
      <c r="A387" s="4"/>
      <c r="B387" s="5"/>
      <c r="C387" s="7"/>
      <c r="D387" s="7"/>
      <c r="E387" s="7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5">
      <c r="A388" s="4"/>
      <c r="B388" s="5"/>
      <c r="C388" s="7"/>
      <c r="D388" s="7"/>
      <c r="E388" s="7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5">
      <c r="A389" s="4"/>
      <c r="B389" s="5"/>
      <c r="C389" s="7"/>
      <c r="D389" s="7"/>
      <c r="E389" s="7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5">
      <c r="A390" s="4"/>
      <c r="B390" s="5"/>
      <c r="C390" s="7"/>
      <c r="D390" s="7"/>
      <c r="E390" s="7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5">
      <c r="A391" s="4"/>
      <c r="B391" s="5"/>
      <c r="C391" s="7"/>
      <c r="D391" s="7"/>
      <c r="E391" s="7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5">
      <c r="A392" s="4"/>
      <c r="B392" s="5"/>
      <c r="C392" s="7"/>
      <c r="D392" s="7"/>
      <c r="E392" s="7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5">
      <c r="A393" s="4"/>
      <c r="B393" s="5"/>
      <c r="C393" s="7"/>
      <c r="D393" s="7"/>
      <c r="E393" s="7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5">
      <c r="A394" s="4"/>
      <c r="B394" s="5"/>
      <c r="C394" s="7"/>
      <c r="D394" s="7"/>
      <c r="E394" s="7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5">
      <c r="A395" s="4"/>
      <c r="B395" s="5"/>
      <c r="C395" s="7"/>
      <c r="D395" s="7"/>
      <c r="E395" s="7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5">
      <c r="A396" s="4"/>
      <c r="B396" s="5"/>
      <c r="C396" s="7"/>
      <c r="D396" s="7"/>
      <c r="E396" s="7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5">
      <c r="A397" s="4"/>
      <c r="B397" s="5"/>
      <c r="C397" s="7"/>
      <c r="D397" s="7"/>
      <c r="E397" s="7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5">
      <c r="A398" s="4"/>
      <c r="B398" s="5"/>
      <c r="C398" s="7"/>
      <c r="D398" s="7"/>
      <c r="E398" s="7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5">
      <c r="A399" s="4"/>
      <c r="B399" s="5"/>
      <c r="C399" s="7"/>
      <c r="D399" s="7"/>
      <c r="E399" s="7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5">
      <c r="A400" s="4"/>
      <c r="B400" s="5"/>
      <c r="C400" s="7"/>
      <c r="D400" s="7"/>
      <c r="E400" s="7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5">
      <c r="A401" s="4"/>
      <c r="B401" s="5"/>
      <c r="C401" s="7"/>
      <c r="D401" s="7"/>
      <c r="E401" s="7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5">
      <c r="A402" s="4"/>
      <c r="B402" s="5"/>
      <c r="C402" s="7"/>
      <c r="D402" s="7"/>
      <c r="E402" s="7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5">
      <c r="A403" s="4"/>
      <c r="B403" s="5"/>
      <c r="C403" s="7"/>
      <c r="D403" s="7"/>
      <c r="E403" s="7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5">
      <c r="A404" s="4"/>
      <c r="B404" s="5"/>
      <c r="C404" s="7"/>
      <c r="D404" s="7"/>
      <c r="E404" s="7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5">
      <c r="A405" s="4"/>
      <c r="B405" s="5"/>
      <c r="C405" s="7"/>
      <c r="D405" s="7"/>
      <c r="E405" s="7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5">
      <c r="A406" s="4"/>
      <c r="B406" s="5"/>
      <c r="C406" s="7"/>
      <c r="D406" s="7"/>
      <c r="E406" s="7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5">
      <c r="A407" s="4"/>
      <c r="B407" s="5"/>
      <c r="C407" s="7"/>
      <c r="D407" s="7"/>
      <c r="E407" s="7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5">
      <c r="A408" s="4"/>
      <c r="B408" s="5"/>
      <c r="C408" s="7"/>
      <c r="D408" s="7"/>
      <c r="E408" s="7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5">
      <c r="A409" s="4"/>
      <c r="B409" s="5"/>
      <c r="C409" s="7"/>
      <c r="D409" s="7"/>
      <c r="E409" s="7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5">
      <c r="A410" s="4"/>
      <c r="B410" s="5"/>
      <c r="C410" s="7"/>
      <c r="D410" s="7"/>
      <c r="E410" s="7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5">
      <c r="A411" s="4"/>
      <c r="B411" s="5"/>
      <c r="C411" s="7"/>
      <c r="D411" s="7"/>
      <c r="E411" s="7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5">
      <c r="A412" s="4"/>
      <c r="B412" s="5"/>
      <c r="C412" s="7"/>
      <c r="D412" s="7"/>
      <c r="E412" s="7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5">
      <c r="A413" s="4"/>
      <c r="B413" s="5"/>
      <c r="C413" s="7"/>
      <c r="D413" s="7"/>
      <c r="E413" s="7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5">
      <c r="A414" s="4"/>
      <c r="B414" s="5"/>
      <c r="C414" s="7"/>
      <c r="D414" s="7"/>
      <c r="E414" s="7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5">
      <c r="A415" s="4"/>
      <c r="B415" s="5"/>
      <c r="C415" s="7"/>
      <c r="D415" s="7"/>
      <c r="E415" s="7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5">
      <c r="A416" s="4"/>
      <c r="B416" s="5"/>
      <c r="C416" s="7"/>
      <c r="D416" s="7"/>
      <c r="E416" s="7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5">
      <c r="A417" s="4"/>
      <c r="B417" s="5"/>
      <c r="C417" s="7"/>
      <c r="D417" s="7"/>
      <c r="E417" s="7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5">
      <c r="A418" s="4"/>
      <c r="B418" s="5"/>
      <c r="C418" s="7"/>
      <c r="D418" s="7"/>
      <c r="E418" s="7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5">
      <c r="A419" s="4"/>
      <c r="B419" s="5"/>
      <c r="C419" s="7"/>
      <c r="D419" s="7"/>
      <c r="E419" s="7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5">
      <c r="A420" s="4"/>
      <c r="B420" s="5"/>
      <c r="C420" s="7"/>
      <c r="D420" s="7"/>
      <c r="E420" s="7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5">
      <c r="A421" s="4"/>
      <c r="B421" s="5"/>
      <c r="C421" s="7"/>
      <c r="D421" s="7"/>
      <c r="E421" s="7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5">
      <c r="A422" s="4"/>
      <c r="B422" s="5"/>
      <c r="C422" s="7"/>
      <c r="D422" s="7"/>
      <c r="E422" s="7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5">
      <c r="A423" s="4"/>
      <c r="B423" s="5"/>
      <c r="C423" s="7"/>
      <c r="D423" s="7"/>
      <c r="E423" s="7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5">
      <c r="A424" s="4"/>
      <c r="B424" s="5"/>
      <c r="C424" s="7"/>
      <c r="D424" s="7"/>
      <c r="E424" s="7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5">
      <c r="A425" s="4"/>
      <c r="B425" s="5"/>
      <c r="C425" s="7"/>
      <c r="D425" s="7"/>
      <c r="E425" s="7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5">
      <c r="A426" s="4"/>
      <c r="B426" s="5"/>
      <c r="C426" s="7"/>
      <c r="D426" s="7"/>
      <c r="E426" s="7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5">
      <c r="A427" s="4"/>
      <c r="B427" s="5"/>
      <c r="C427" s="7"/>
      <c r="D427" s="7"/>
      <c r="E427" s="7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5">
      <c r="A428" s="4"/>
      <c r="B428" s="5"/>
      <c r="C428" s="7"/>
      <c r="D428" s="7"/>
      <c r="E428" s="7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5">
      <c r="A429" s="4"/>
      <c r="B429" s="5"/>
      <c r="C429" s="7"/>
      <c r="D429" s="7"/>
      <c r="E429" s="7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5">
      <c r="A430" s="4"/>
      <c r="B430" s="5"/>
      <c r="C430" s="7"/>
      <c r="D430" s="7"/>
      <c r="E430" s="7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5">
      <c r="A431" s="4"/>
      <c r="B431" s="5"/>
      <c r="C431" s="7"/>
      <c r="D431" s="7"/>
      <c r="E431" s="7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5">
      <c r="A432" s="4"/>
      <c r="B432" s="5"/>
      <c r="C432" s="7"/>
      <c r="D432" s="7"/>
      <c r="E432" s="7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5">
      <c r="A433" s="4"/>
      <c r="B433" s="5"/>
      <c r="C433" s="7"/>
      <c r="D433" s="7"/>
      <c r="E433" s="7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5">
      <c r="A434" s="4"/>
      <c r="B434" s="5"/>
      <c r="C434" s="7"/>
      <c r="D434" s="7"/>
      <c r="E434" s="7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5">
      <c r="A435" s="4"/>
      <c r="B435" s="5"/>
      <c r="C435" s="7"/>
      <c r="D435" s="7"/>
      <c r="E435" s="7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5">
      <c r="A436" s="4"/>
      <c r="B436" s="5"/>
      <c r="C436" s="7"/>
      <c r="D436" s="7"/>
      <c r="E436" s="7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5">
      <c r="A437" s="4"/>
      <c r="B437" s="5"/>
      <c r="C437" s="7"/>
      <c r="D437" s="7"/>
      <c r="E437" s="7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5">
      <c r="A438" s="4"/>
      <c r="B438" s="5"/>
      <c r="C438" s="7"/>
      <c r="D438" s="7"/>
      <c r="E438" s="7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5">
      <c r="A439" s="4"/>
      <c r="B439" s="5"/>
      <c r="C439" s="7"/>
      <c r="D439" s="7"/>
      <c r="E439" s="7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5">
      <c r="A440" s="4"/>
      <c r="B440" s="5"/>
      <c r="C440" s="7"/>
      <c r="D440" s="7"/>
      <c r="E440" s="7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5">
      <c r="A441" s="4"/>
      <c r="B441" s="5"/>
      <c r="C441" s="7"/>
      <c r="D441" s="7"/>
      <c r="E441" s="7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5">
      <c r="A442" s="4"/>
      <c r="B442" s="5"/>
      <c r="C442" s="7"/>
      <c r="D442" s="7"/>
      <c r="E442" s="7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5">
      <c r="A443" s="4"/>
      <c r="B443" s="5"/>
      <c r="C443" s="7"/>
      <c r="D443" s="7"/>
      <c r="E443" s="7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5">
      <c r="A444" s="4"/>
      <c r="B444" s="5"/>
      <c r="C444" s="7"/>
      <c r="D444" s="7"/>
      <c r="E444" s="7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5">
      <c r="A445" s="4"/>
      <c r="B445" s="5"/>
      <c r="C445" s="7"/>
      <c r="D445" s="7"/>
      <c r="E445" s="7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5">
      <c r="A446" s="4"/>
      <c r="B446" s="5"/>
      <c r="C446" s="7"/>
      <c r="D446" s="7"/>
      <c r="E446" s="7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5">
      <c r="A447" s="4"/>
      <c r="B447" s="5"/>
      <c r="C447" s="7"/>
      <c r="D447" s="7"/>
      <c r="E447" s="7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5">
      <c r="A448" s="4"/>
      <c r="B448" s="5"/>
      <c r="C448" s="7"/>
      <c r="D448" s="7"/>
      <c r="E448" s="7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5">
      <c r="A449" s="4"/>
      <c r="B449" s="5"/>
      <c r="C449" s="7"/>
      <c r="D449" s="7"/>
      <c r="E449" s="7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5">
      <c r="A450" s="4"/>
      <c r="B450" s="5"/>
      <c r="C450" s="7"/>
      <c r="D450" s="7"/>
      <c r="E450" s="7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5">
      <c r="A451" s="4"/>
      <c r="B451" s="5"/>
      <c r="C451" s="7"/>
      <c r="D451" s="7"/>
      <c r="E451" s="7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5">
      <c r="A452" s="4"/>
      <c r="B452" s="5"/>
      <c r="C452" s="7"/>
      <c r="D452" s="7"/>
      <c r="E452" s="7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5">
      <c r="A453" s="4"/>
      <c r="B453" s="5"/>
      <c r="C453" s="7"/>
      <c r="D453" s="7"/>
      <c r="E453" s="7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5">
      <c r="A454" s="4"/>
      <c r="B454" s="5"/>
      <c r="C454" s="7"/>
      <c r="D454" s="7"/>
      <c r="E454" s="7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5">
      <c r="A455" s="4"/>
      <c r="B455" s="5"/>
      <c r="C455" s="7"/>
      <c r="D455" s="7"/>
      <c r="E455" s="7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5">
      <c r="A456" s="4"/>
      <c r="B456" s="5"/>
      <c r="C456" s="7"/>
      <c r="D456" s="7"/>
      <c r="E456" s="7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5">
      <c r="A457" s="4"/>
      <c r="B457" s="5"/>
      <c r="C457" s="7"/>
      <c r="D457" s="7"/>
      <c r="E457" s="7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5">
      <c r="A458" s="4"/>
      <c r="B458" s="5"/>
      <c r="C458" s="7"/>
      <c r="D458" s="7"/>
      <c r="E458" s="7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5">
      <c r="A459" s="4"/>
      <c r="B459" s="5"/>
      <c r="C459" s="7"/>
      <c r="D459" s="7"/>
      <c r="E459" s="7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5">
      <c r="A460" s="4"/>
      <c r="B460" s="5"/>
      <c r="C460" s="7"/>
      <c r="D460" s="7"/>
      <c r="E460" s="7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5">
      <c r="A461" s="4"/>
      <c r="B461" s="5"/>
      <c r="C461" s="7"/>
      <c r="D461" s="7"/>
      <c r="E461" s="7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5">
      <c r="A462" s="4"/>
      <c r="B462" s="5"/>
      <c r="C462" s="7"/>
      <c r="D462" s="7"/>
      <c r="E462" s="7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5">
      <c r="A463" s="4"/>
      <c r="B463" s="5"/>
      <c r="C463" s="7"/>
      <c r="D463" s="7"/>
      <c r="E463" s="7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5">
      <c r="A464" s="4"/>
      <c r="B464" s="5"/>
      <c r="C464" s="7"/>
      <c r="D464" s="7"/>
      <c r="E464" s="7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5">
      <c r="A465" s="4"/>
      <c r="B465" s="5"/>
      <c r="C465" s="7"/>
      <c r="D465" s="7"/>
      <c r="E465" s="7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5">
      <c r="A466" s="4"/>
      <c r="B466" s="5"/>
      <c r="C466" s="7"/>
      <c r="D466" s="7"/>
      <c r="E466" s="7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5">
      <c r="A467" s="4"/>
      <c r="B467" s="5"/>
      <c r="C467" s="7"/>
      <c r="D467" s="7"/>
      <c r="E467" s="7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5">
      <c r="A468" s="4"/>
      <c r="B468" s="5"/>
      <c r="C468" s="7"/>
      <c r="D468" s="7"/>
      <c r="E468" s="7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5">
      <c r="A469" s="4"/>
      <c r="B469" s="5"/>
      <c r="C469" s="7"/>
      <c r="D469" s="7"/>
      <c r="E469" s="7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5">
      <c r="A470" s="4"/>
      <c r="B470" s="5"/>
      <c r="C470" s="7"/>
      <c r="D470" s="7"/>
      <c r="E470" s="7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5">
      <c r="A471" s="4"/>
      <c r="B471" s="5"/>
      <c r="C471" s="7"/>
      <c r="D471" s="7"/>
      <c r="E471" s="7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5">
      <c r="A472" s="4"/>
      <c r="B472" s="5"/>
      <c r="C472" s="7"/>
      <c r="D472" s="7"/>
      <c r="E472" s="7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5">
      <c r="A473" s="4"/>
      <c r="B473" s="5"/>
      <c r="C473" s="7"/>
      <c r="D473" s="7"/>
      <c r="E473" s="7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5">
      <c r="A474" s="4"/>
      <c r="B474" s="5"/>
      <c r="C474" s="7"/>
      <c r="D474" s="7"/>
      <c r="E474" s="7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5">
      <c r="A475" s="4"/>
      <c r="B475" s="5"/>
      <c r="C475" s="7"/>
      <c r="D475" s="7"/>
      <c r="E475" s="7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5">
      <c r="A476" s="4"/>
      <c r="B476" s="5"/>
      <c r="C476" s="7"/>
      <c r="D476" s="7"/>
      <c r="E476" s="7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5">
      <c r="A477" s="4"/>
      <c r="B477" s="5"/>
      <c r="C477" s="7"/>
      <c r="D477" s="7"/>
      <c r="E477" s="7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5">
      <c r="A478" s="4"/>
      <c r="B478" s="5"/>
      <c r="C478" s="7"/>
      <c r="D478" s="7"/>
      <c r="E478" s="7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5">
      <c r="A479" s="4"/>
      <c r="B479" s="5"/>
      <c r="C479" s="7"/>
      <c r="D479" s="7"/>
      <c r="E479" s="7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5">
      <c r="A480" s="4"/>
      <c r="B480" s="5"/>
      <c r="C480" s="7"/>
      <c r="D480" s="7"/>
      <c r="E480" s="7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5">
      <c r="A481" s="4"/>
      <c r="B481" s="5"/>
      <c r="C481" s="7"/>
      <c r="D481" s="7"/>
      <c r="E481" s="7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5">
      <c r="A482" s="4"/>
      <c r="B482" s="5"/>
      <c r="C482" s="7"/>
      <c r="D482" s="7"/>
      <c r="E482" s="7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5">
      <c r="A483" s="4"/>
      <c r="B483" s="5"/>
      <c r="C483" s="7"/>
      <c r="D483" s="7"/>
      <c r="E483" s="7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5">
      <c r="A484" s="4"/>
      <c r="B484" s="5"/>
      <c r="C484" s="7"/>
      <c r="D484" s="7"/>
      <c r="E484" s="7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5">
      <c r="A485" s="4"/>
      <c r="B485" s="5"/>
      <c r="C485" s="7"/>
      <c r="D485" s="7"/>
      <c r="E485" s="7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5">
      <c r="A486" s="4"/>
      <c r="B486" s="5"/>
      <c r="C486" s="7"/>
      <c r="D486" s="7"/>
      <c r="E486" s="7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5">
      <c r="A487" s="4"/>
      <c r="B487" s="5"/>
      <c r="C487" s="7"/>
      <c r="D487" s="7"/>
      <c r="E487" s="7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5">
      <c r="A488" s="4"/>
      <c r="B488" s="5"/>
      <c r="C488" s="7"/>
      <c r="D488" s="7"/>
      <c r="E488" s="7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5">
      <c r="A489" s="4"/>
      <c r="B489" s="5"/>
      <c r="C489" s="7"/>
      <c r="D489" s="7"/>
      <c r="E489" s="7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5">
      <c r="A490" s="4"/>
      <c r="B490" s="5"/>
      <c r="C490" s="7"/>
      <c r="D490" s="7"/>
      <c r="E490" s="7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5">
      <c r="A491" s="4"/>
      <c r="B491" s="5"/>
      <c r="C491" s="7"/>
      <c r="D491" s="7"/>
      <c r="E491" s="7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5">
      <c r="A492" s="4"/>
      <c r="B492" s="5"/>
      <c r="C492" s="7"/>
      <c r="D492" s="7"/>
      <c r="E492" s="7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5">
      <c r="A493" s="4"/>
      <c r="B493" s="5"/>
      <c r="C493" s="7"/>
      <c r="D493" s="7"/>
      <c r="E493" s="7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5">
      <c r="A494" s="4"/>
      <c r="B494" s="5"/>
      <c r="C494" s="7"/>
      <c r="D494" s="7"/>
      <c r="E494" s="7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5">
      <c r="A495" s="4"/>
      <c r="B495" s="5"/>
      <c r="C495" s="7"/>
      <c r="D495" s="7"/>
      <c r="E495" s="7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5">
      <c r="A496" s="4"/>
      <c r="B496" s="5"/>
      <c r="C496" s="7"/>
      <c r="D496" s="7"/>
      <c r="E496" s="7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5">
      <c r="A497" s="4"/>
      <c r="B497" s="5"/>
      <c r="C497" s="7"/>
      <c r="D497" s="7"/>
      <c r="E497" s="7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5">
      <c r="A498" s="4"/>
      <c r="B498" s="5"/>
      <c r="C498" s="7"/>
      <c r="D498" s="7"/>
      <c r="E498" s="7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5">
      <c r="A499" s="4"/>
      <c r="B499" s="5"/>
      <c r="C499" s="7"/>
      <c r="D499" s="7"/>
      <c r="E499" s="7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5">
      <c r="A500" s="4"/>
      <c r="B500" s="5"/>
      <c r="C500" s="7"/>
      <c r="D500" s="7"/>
      <c r="E500" s="7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5">
      <c r="A501" s="4"/>
      <c r="B501" s="5"/>
      <c r="C501" s="7"/>
      <c r="D501" s="7"/>
      <c r="E501" s="7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5">
      <c r="A502" s="4"/>
      <c r="B502" s="5"/>
      <c r="C502" s="7"/>
      <c r="D502" s="7"/>
      <c r="E502" s="7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5">
      <c r="A503" s="4"/>
      <c r="B503" s="5"/>
      <c r="C503" s="7"/>
      <c r="D503" s="7"/>
      <c r="E503" s="7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5">
      <c r="A504" s="4"/>
      <c r="B504" s="5"/>
      <c r="C504" s="7"/>
      <c r="D504" s="7"/>
      <c r="E504" s="7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5">
      <c r="A505" s="4"/>
      <c r="B505" s="5"/>
      <c r="C505" s="7"/>
      <c r="D505" s="7"/>
      <c r="E505" s="7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5">
      <c r="A506" s="4"/>
      <c r="B506" s="5"/>
      <c r="C506" s="7"/>
      <c r="D506" s="7"/>
      <c r="E506" s="7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5">
      <c r="A507" s="4"/>
      <c r="B507" s="5"/>
      <c r="C507" s="7"/>
      <c r="D507" s="7"/>
      <c r="E507" s="7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5">
      <c r="A508" s="4"/>
      <c r="B508" s="5"/>
      <c r="C508" s="7"/>
      <c r="D508" s="7"/>
      <c r="E508" s="7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5">
      <c r="A509" s="4"/>
      <c r="B509" s="5"/>
      <c r="C509" s="7"/>
      <c r="D509" s="7"/>
      <c r="E509" s="7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5">
      <c r="A510" s="4"/>
      <c r="B510" s="5"/>
      <c r="C510" s="7"/>
      <c r="D510" s="7"/>
      <c r="E510" s="7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5">
      <c r="A511" s="4"/>
      <c r="B511" s="5"/>
      <c r="C511" s="7"/>
      <c r="D511" s="7"/>
      <c r="E511" s="7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5">
      <c r="A512" s="4"/>
      <c r="B512" s="5"/>
      <c r="C512" s="7"/>
      <c r="D512" s="7"/>
      <c r="E512" s="7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5">
      <c r="A513" s="4"/>
      <c r="B513" s="5"/>
      <c r="C513" s="7"/>
      <c r="D513" s="7"/>
      <c r="E513" s="7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5">
      <c r="A514" s="4"/>
      <c r="B514" s="5"/>
      <c r="C514" s="7"/>
      <c r="D514" s="7"/>
      <c r="E514" s="7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5">
      <c r="A515" s="4"/>
      <c r="B515" s="5"/>
      <c r="C515" s="7"/>
      <c r="D515" s="7"/>
      <c r="E515" s="7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5">
      <c r="A516" s="4"/>
      <c r="B516" s="5"/>
      <c r="C516" s="7"/>
      <c r="D516" s="7"/>
      <c r="E516" s="7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5">
      <c r="A517" s="4"/>
      <c r="B517" s="5"/>
      <c r="C517" s="7"/>
      <c r="D517" s="7"/>
      <c r="E517" s="7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5">
      <c r="A518" s="4"/>
      <c r="B518" s="5"/>
      <c r="C518" s="7"/>
      <c r="D518" s="7"/>
      <c r="E518" s="7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5">
      <c r="A519" s="4"/>
      <c r="B519" s="5"/>
      <c r="C519" s="7"/>
      <c r="D519" s="7"/>
      <c r="E519" s="7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5">
      <c r="A520" s="4"/>
      <c r="B520" s="5"/>
      <c r="C520" s="7"/>
      <c r="D520" s="7"/>
      <c r="E520" s="7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5">
      <c r="A521" s="4"/>
      <c r="B521" s="5"/>
      <c r="C521" s="7"/>
      <c r="D521" s="7"/>
      <c r="E521" s="7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5">
      <c r="A522" s="4"/>
      <c r="B522" s="5"/>
      <c r="C522" s="7"/>
      <c r="D522" s="7"/>
      <c r="E522" s="7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5">
      <c r="A523" s="4"/>
      <c r="B523" s="5"/>
      <c r="C523" s="7"/>
      <c r="D523" s="7"/>
      <c r="E523" s="7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5">
      <c r="A524" s="4"/>
      <c r="B524" s="5"/>
      <c r="C524" s="7"/>
      <c r="D524" s="7"/>
      <c r="E524" s="7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5">
      <c r="A525" s="4"/>
      <c r="B525" s="5"/>
      <c r="C525" s="7"/>
      <c r="D525" s="7"/>
      <c r="E525" s="7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5">
      <c r="A526" s="4"/>
      <c r="B526" s="5"/>
      <c r="C526" s="7"/>
      <c r="D526" s="7"/>
      <c r="E526" s="7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5">
      <c r="A527" s="4"/>
      <c r="B527" s="5"/>
      <c r="C527" s="7"/>
      <c r="D527" s="7"/>
      <c r="E527" s="7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5">
      <c r="A528" s="4"/>
      <c r="B528" s="5"/>
      <c r="C528" s="7"/>
      <c r="D528" s="7"/>
      <c r="E528" s="7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5">
      <c r="A529" s="4"/>
      <c r="B529" s="5"/>
      <c r="C529" s="7"/>
      <c r="D529" s="7"/>
      <c r="E529" s="7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5">
      <c r="A530" s="4"/>
      <c r="B530" s="5"/>
      <c r="C530" s="7"/>
      <c r="D530" s="7"/>
      <c r="E530" s="7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5">
      <c r="A531" s="4"/>
      <c r="B531" s="5"/>
      <c r="C531" s="7"/>
      <c r="D531" s="7"/>
      <c r="E531" s="7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5">
      <c r="A532" s="4"/>
      <c r="B532" s="5"/>
      <c r="C532" s="7"/>
      <c r="D532" s="7"/>
      <c r="E532" s="7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5">
      <c r="A533" s="4"/>
      <c r="B533" s="5"/>
      <c r="C533" s="7"/>
      <c r="D533" s="7"/>
      <c r="E533" s="7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5">
      <c r="A534" s="4"/>
      <c r="B534" s="5"/>
      <c r="C534" s="7"/>
      <c r="D534" s="7"/>
      <c r="E534" s="7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5">
      <c r="A535" s="4"/>
      <c r="B535" s="5"/>
      <c r="C535" s="7"/>
      <c r="D535" s="7"/>
      <c r="E535" s="7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5">
      <c r="A536" s="4"/>
      <c r="B536" s="5"/>
      <c r="C536" s="7"/>
      <c r="D536" s="7"/>
      <c r="E536" s="7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5">
      <c r="A537" s="4"/>
      <c r="B537" s="5"/>
      <c r="C537" s="7"/>
      <c r="D537" s="7"/>
      <c r="E537" s="7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5">
      <c r="A538" s="4"/>
      <c r="B538" s="5"/>
      <c r="C538" s="7"/>
      <c r="D538" s="7"/>
      <c r="E538" s="7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5">
      <c r="A539" s="4"/>
      <c r="B539" s="5"/>
      <c r="C539" s="7"/>
      <c r="D539" s="7"/>
      <c r="E539" s="7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5">
      <c r="A540" s="4"/>
      <c r="B540" s="5"/>
      <c r="C540" s="7"/>
      <c r="D540" s="7"/>
      <c r="E540" s="7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5">
      <c r="A541" s="4"/>
      <c r="B541" s="5"/>
      <c r="C541" s="7"/>
      <c r="D541" s="7"/>
      <c r="E541" s="7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5">
      <c r="A542" s="4"/>
      <c r="B542" s="5"/>
      <c r="C542" s="7"/>
      <c r="D542" s="7"/>
      <c r="E542" s="7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5">
      <c r="A543" s="4"/>
      <c r="B543" s="5"/>
      <c r="C543" s="7"/>
      <c r="D543" s="7"/>
      <c r="E543" s="7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5">
      <c r="A544" s="4"/>
      <c r="B544" s="5"/>
      <c r="C544" s="7"/>
      <c r="D544" s="7"/>
      <c r="E544" s="7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5">
      <c r="A545" s="4"/>
      <c r="B545" s="5"/>
      <c r="C545" s="7"/>
      <c r="D545" s="7"/>
      <c r="E545" s="7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5">
      <c r="A546" s="4"/>
      <c r="B546" s="5"/>
      <c r="C546" s="7"/>
      <c r="D546" s="7"/>
      <c r="E546" s="7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5">
      <c r="A547" s="4"/>
      <c r="B547" s="5"/>
      <c r="C547" s="7"/>
      <c r="D547" s="7"/>
      <c r="E547" s="7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5">
      <c r="A548" s="4"/>
      <c r="B548" s="5"/>
      <c r="C548" s="7"/>
      <c r="D548" s="7"/>
      <c r="E548" s="7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5">
      <c r="A549" s="4"/>
      <c r="B549" s="5"/>
      <c r="C549" s="7"/>
      <c r="D549" s="7"/>
      <c r="E549" s="7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5">
      <c r="A550" s="4"/>
      <c r="B550" s="5"/>
      <c r="C550" s="7"/>
      <c r="D550" s="7"/>
      <c r="E550" s="7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5">
      <c r="A551" s="4"/>
      <c r="B551" s="5"/>
      <c r="C551" s="7"/>
      <c r="D551" s="7"/>
      <c r="E551" s="7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5">
      <c r="A552" s="4"/>
      <c r="B552" s="5"/>
      <c r="C552" s="7"/>
      <c r="D552" s="7"/>
      <c r="E552" s="7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5">
      <c r="A553" s="4"/>
      <c r="B553" s="5"/>
      <c r="C553" s="7"/>
      <c r="D553" s="7"/>
      <c r="E553" s="7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5">
      <c r="A554" s="4"/>
      <c r="B554" s="5"/>
      <c r="C554" s="7"/>
      <c r="D554" s="7"/>
      <c r="E554" s="7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5">
      <c r="A555" s="4"/>
      <c r="B555" s="5"/>
      <c r="C555" s="7"/>
      <c r="D555" s="7"/>
      <c r="E555" s="7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5">
      <c r="A556" s="4"/>
      <c r="B556" s="5"/>
      <c r="C556" s="7"/>
      <c r="D556" s="7"/>
      <c r="E556" s="7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5">
      <c r="A557" s="4"/>
      <c r="B557" s="5"/>
      <c r="C557" s="7"/>
      <c r="D557" s="7"/>
      <c r="E557" s="7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5">
      <c r="A558" s="4"/>
      <c r="B558" s="5"/>
      <c r="C558" s="7"/>
      <c r="D558" s="7"/>
      <c r="E558" s="7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5">
      <c r="A559" s="4"/>
      <c r="B559" s="5"/>
      <c r="C559" s="7"/>
      <c r="D559" s="7"/>
      <c r="E559" s="7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5">
      <c r="A560" s="4"/>
      <c r="B560" s="5"/>
      <c r="C560" s="7"/>
      <c r="D560" s="7"/>
      <c r="E560" s="7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5">
      <c r="A561" s="4"/>
      <c r="B561" s="5"/>
      <c r="C561" s="7"/>
      <c r="D561" s="7"/>
      <c r="E561" s="7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5">
      <c r="A562" s="4"/>
      <c r="B562" s="5"/>
      <c r="C562" s="7"/>
      <c r="D562" s="7"/>
      <c r="E562" s="7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5">
      <c r="A563" s="4"/>
      <c r="B563" s="5"/>
      <c r="C563" s="7"/>
      <c r="D563" s="7"/>
      <c r="E563" s="7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5">
      <c r="A564" s="4"/>
      <c r="B564" s="5"/>
      <c r="C564" s="7"/>
      <c r="D564" s="7"/>
      <c r="E564" s="7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5">
      <c r="A565" s="4"/>
      <c r="B565" s="5"/>
      <c r="C565" s="7"/>
      <c r="D565" s="7"/>
      <c r="E565" s="7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5">
      <c r="A566" s="4"/>
      <c r="B566" s="5"/>
      <c r="C566" s="7"/>
      <c r="D566" s="7"/>
      <c r="E566" s="7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5">
      <c r="A567" s="4"/>
      <c r="B567" s="5"/>
      <c r="C567" s="7"/>
      <c r="D567" s="7"/>
      <c r="E567" s="7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5">
      <c r="A568" s="4"/>
      <c r="B568" s="5"/>
      <c r="C568" s="7"/>
      <c r="D568" s="7"/>
      <c r="E568" s="7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5">
      <c r="A569" s="4"/>
      <c r="B569" s="5"/>
      <c r="C569" s="7"/>
      <c r="D569" s="7"/>
      <c r="E569" s="7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5">
      <c r="A570" s="4"/>
      <c r="B570" s="5"/>
      <c r="C570" s="7"/>
      <c r="D570" s="7"/>
      <c r="E570" s="7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5">
      <c r="A571" s="4"/>
      <c r="B571" s="5"/>
      <c r="C571" s="7"/>
      <c r="D571" s="7"/>
      <c r="E571" s="7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5">
      <c r="A572" s="4"/>
      <c r="B572" s="5"/>
      <c r="C572" s="7"/>
      <c r="D572" s="7"/>
      <c r="E572" s="7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5">
      <c r="A573" s="4"/>
      <c r="B573" s="5"/>
      <c r="C573" s="7"/>
      <c r="D573" s="7"/>
      <c r="E573" s="7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5">
      <c r="A574" s="4"/>
      <c r="B574" s="5"/>
      <c r="C574" s="7"/>
      <c r="D574" s="7"/>
      <c r="E574" s="7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5">
      <c r="A575" s="4"/>
      <c r="B575" s="5"/>
      <c r="C575" s="7"/>
      <c r="D575" s="7"/>
      <c r="E575" s="7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5">
      <c r="A576" s="4"/>
      <c r="B576" s="5"/>
      <c r="C576" s="7"/>
      <c r="D576" s="7"/>
      <c r="E576" s="7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5">
      <c r="A577" s="4"/>
      <c r="B577" s="5"/>
      <c r="C577" s="7"/>
      <c r="D577" s="7"/>
      <c r="E577" s="7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5">
      <c r="A578" s="4"/>
      <c r="B578" s="5"/>
      <c r="C578" s="7"/>
      <c r="D578" s="7"/>
      <c r="E578" s="7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5">
      <c r="A579" s="4"/>
      <c r="B579" s="5"/>
      <c r="C579" s="7"/>
      <c r="D579" s="7"/>
      <c r="E579" s="7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5">
      <c r="A580" s="4"/>
      <c r="B580" s="5"/>
      <c r="C580" s="7"/>
      <c r="D580" s="7"/>
      <c r="E580" s="7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5">
      <c r="A581" s="4"/>
      <c r="B581" s="5"/>
      <c r="C581" s="7"/>
      <c r="D581" s="7"/>
      <c r="E581" s="7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5">
      <c r="A582" s="4"/>
      <c r="B582" s="5"/>
      <c r="C582" s="7"/>
      <c r="D582" s="7"/>
      <c r="E582" s="7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5">
      <c r="A583" s="4"/>
      <c r="B583" s="5"/>
      <c r="C583" s="7"/>
      <c r="D583" s="7"/>
      <c r="E583" s="7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5">
      <c r="A584" s="4"/>
      <c r="B584" s="5"/>
      <c r="C584" s="7"/>
      <c r="D584" s="7"/>
      <c r="E584" s="7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5">
      <c r="A585" s="4"/>
      <c r="B585" s="5"/>
      <c r="C585" s="7"/>
      <c r="D585" s="7"/>
      <c r="E585" s="7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5">
      <c r="A586" s="4"/>
      <c r="B586" s="5"/>
      <c r="C586" s="7"/>
      <c r="D586" s="7"/>
      <c r="E586" s="7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5">
      <c r="A587" s="4"/>
      <c r="B587" s="5"/>
      <c r="C587" s="7"/>
      <c r="D587" s="7"/>
      <c r="E587" s="7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5">
      <c r="A588" s="4"/>
      <c r="B588" s="5"/>
      <c r="C588" s="7"/>
      <c r="D588" s="7"/>
      <c r="E588" s="7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5">
      <c r="A589" s="4"/>
      <c r="B589" s="5"/>
      <c r="C589" s="7"/>
      <c r="D589" s="7"/>
      <c r="E589" s="7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5">
      <c r="A590" s="4"/>
      <c r="B590" s="5"/>
      <c r="C590" s="7"/>
      <c r="D590" s="7"/>
      <c r="E590" s="7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5">
      <c r="A591" s="4"/>
      <c r="B591" s="5"/>
      <c r="C591" s="7"/>
      <c r="D591" s="7"/>
      <c r="E591" s="7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5">
      <c r="A592" s="4"/>
      <c r="B592" s="5"/>
      <c r="C592" s="7"/>
      <c r="D592" s="7"/>
      <c r="E592" s="7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5">
      <c r="A593" s="4"/>
      <c r="B593" s="5"/>
      <c r="C593" s="7"/>
      <c r="D593" s="7"/>
      <c r="E593" s="7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5">
      <c r="A594" s="4"/>
      <c r="B594" s="5"/>
      <c r="C594" s="7"/>
      <c r="D594" s="7"/>
      <c r="E594" s="7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5">
      <c r="A595" s="4"/>
      <c r="B595" s="5"/>
      <c r="C595" s="7"/>
      <c r="D595" s="7"/>
      <c r="E595" s="7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5">
      <c r="A596" s="4"/>
      <c r="B596" s="5"/>
      <c r="C596" s="7"/>
      <c r="D596" s="7"/>
      <c r="E596" s="7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5">
      <c r="A597" s="4"/>
      <c r="B597" s="5"/>
      <c r="C597" s="7"/>
      <c r="D597" s="7"/>
      <c r="E597" s="7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5">
      <c r="A598" s="4"/>
      <c r="B598" s="5"/>
      <c r="C598" s="7"/>
      <c r="D598" s="7"/>
      <c r="E598" s="7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5">
      <c r="A599" s="4"/>
      <c r="B599" s="5"/>
      <c r="C599" s="7"/>
      <c r="D599" s="7"/>
      <c r="E599" s="7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5">
      <c r="A600" s="4"/>
      <c r="B600" s="5"/>
      <c r="C600" s="7"/>
      <c r="D600" s="7"/>
      <c r="E600" s="7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5">
      <c r="A601" s="4"/>
      <c r="B601" s="5"/>
      <c r="C601" s="7"/>
      <c r="D601" s="7"/>
      <c r="E601" s="7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5">
      <c r="A602" s="4"/>
      <c r="B602" s="5"/>
      <c r="C602" s="7"/>
      <c r="D602" s="7"/>
      <c r="E602" s="7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5">
      <c r="A603" s="4"/>
      <c r="B603" s="5"/>
      <c r="C603" s="7"/>
      <c r="D603" s="7"/>
      <c r="E603" s="7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5">
      <c r="A604" s="4"/>
      <c r="B604" s="5"/>
      <c r="C604" s="7"/>
      <c r="D604" s="7"/>
      <c r="E604" s="7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5">
      <c r="A605" s="4"/>
      <c r="B605" s="5"/>
      <c r="C605" s="7"/>
      <c r="D605" s="7"/>
      <c r="E605" s="7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5">
      <c r="A606" s="4"/>
      <c r="B606" s="5"/>
      <c r="C606" s="7"/>
      <c r="D606" s="7"/>
      <c r="E606" s="7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5">
      <c r="A607" s="4"/>
      <c r="B607" s="5"/>
      <c r="C607" s="7"/>
      <c r="D607" s="7"/>
      <c r="E607" s="7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5">
      <c r="A608" s="4"/>
      <c r="B608" s="5"/>
      <c r="C608" s="7"/>
      <c r="D608" s="7"/>
      <c r="E608" s="7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5">
      <c r="A609" s="4"/>
      <c r="B609" s="5"/>
      <c r="C609" s="7"/>
      <c r="D609" s="7"/>
      <c r="E609" s="7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5">
      <c r="A610" s="4"/>
      <c r="B610" s="5"/>
      <c r="C610" s="7"/>
      <c r="D610" s="7"/>
      <c r="E610" s="7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5">
      <c r="A611" s="4"/>
      <c r="B611" s="5"/>
      <c r="C611" s="7"/>
      <c r="D611" s="7"/>
      <c r="E611" s="7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5">
      <c r="A612" s="4"/>
      <c r="B612" s="5"/>
      <c r="C612" s="7"/>
      <c r="D612" s="7"/>
      <c r="E612" s="7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5">
      <c r="A613" s="4"/>
      <c r="B613" s="5"/>
      <c r="C613" s="7"/>
      <c r="D613" s="7"/>
      <c r="E613" s="7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5">
      <c r="A614" s="4"/>
      <c r="B614" s="5"/>
      <c r="C614" s="7"/>
      <c r="D614" s="7"/>
      <c r="E614" s="7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5">
      <c r="A615" s="4"/>
      <c r="B615" s="5"/>
      <c r="C615" s="7"/>
      <c r="D615" s="7"/>
      <c r="E615" s="7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5">
      <c r="A616" s="4"/>
      <c r="B616" s="5"/>
      <c r="C616" s="7"/>
      <c r="D616" s="7"/>
      <c r="E616" s="7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5">
      <c r="A617" s="4"/>
      <c r="B617" s="5"/>
      <c r="C617" s="7"/>
      <c r="D617" s="7"/>
      <c r="E617" s="7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5">
      <c r="A618" s="4"/>
      <c r="B618" s="5"/>
      <c r="C618" s="7"/>
      <c r="D618" s="7"/>
      <c r="E618" s="7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5">
      <c r="A619" s="4"/>
      <c r="B619" s="5"/>
      <c r="C619" s="7"/>
      <c r="D619" s="7"/>
      <c r="E619" s="7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5">
      <c r="A620" s="4"/>
      <c r="B620" s="5"/>
      <c r="C620" s="7"/>
      <c r="D620" s="7"/>
      <c r="E620" s="7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5">
      <c r="A621" s="4"/>
      <c r="B621" s="5"/>
      <c r="C621" s="7"/>
      <c r="D621" s="7"/>
      <c r="E621" s="7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5">
      <c r="A622" s="4"/>
      <c r="B622" s="5"/>
      <c r="C622" s="7"/>
      <c r="D622" s="7"/>
      <c r="E622" s="7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5">
      <c r="A623" s="4"/>
      <c r="B623" s="5"/>
      <c r="C623" s="7"/>
      <c r="D623" s="7"/>
      <c r="E623" s="7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5">
      <c r="A624" s="4"/>
      <c r="B624" s="5"/>
      <c r="C624" s="7"/>
      <c r="D624" s="7"/>
      <c r="E624" s="7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5">
      <c r="A625" s="4"/>
      <c r="B625" s="5"/>
      <c r="C625" s="7"/>
      <c r="D625" s="7"/>
      <c r="E625" s="7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5">
      <c r="A626" s="4"/>
      <c r="B626" s="5"/>
      <c r="C626" s="7"/>
      <c r="D626" s="7"/>
      <c r="E626" s="7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5">
      <c r="A627" s="4"/>
      <c r="B627" s="5"/>
      <c r="C627" s="7"/>
      <c r="D627" s="7"/>
      <c r="E627" s="7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5">
      <c r="A628" s="4"/>
      <c r="B628" s="5"/>
      <c r="C628" s="7"/>
      <c r="D628" s="7"/>
      <c r="E628" s="7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5">
      <c r="A629" s="4"/>
      <c r="B629" s="5"/>
      <c r="C629" s="7"/>
      <c r="D629" s="7"/>
      <c r="E629" s="7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5">
      <c r="A630" s="4"/>
      <c r="B630" s="5"/>
      <c r="C630" s="7"/>
      <c r="D630" s="7"/>
      <c r="E630" s="7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5">
      <c r="A631" s="4"/>
      <c r="B631" s="5"/>
      <c r="C631" s="7"/>
      <c r="D631" s="7"/>
      <c r="E631" s="7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5">
      <c r="A632" s="4"/>
      <c r="B632" s="5"/>
      <c r="C632" s="7"/>
      <c r="D632" s="7"/>
      <c r="E632" s="7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5">
      <c r="A633" s="4"/>
      <c r="B633" s="5"/>
      <c r="C633" s="7"/>
      <c r="D633" s="7"/>
      <c r="E633" s="7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5">
      <c r="A634" s="4"/>
      <c r="B634" s="5"/>
      <c r="C634" s="7"/>
      <c r="D634" s="7"/>
      <c r="E634" s="7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5">
      <c r="A635" s="4"/>
      <c r="B635" s="5"/>
      <c r="C635" s="7"/>
      <c r="D635" s="7"/>
      <c r="E635" s="7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5">
      <c r="A636" s="4"/>
      <c r="B636" s="5"/>
      <c r="C636" s="7"/>
      <c r="D636" s="7"/>
      <c r="E636" s="7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5">
      <c r="A637" s="4"/>
      <c r="B637" s="5"/>
      <c r="C637" s="7"/>
      <c r="D637" s="7"/>
      <c r="E637" s="7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5">
      <c r="A638" s="4"/>
      <c r="B638" s="5"/>
      <c r="C638" s="7"/>
      <c r="D638" s="7"/>
      <c r="E638" s="7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5">
      <c r="A639" s="4"/>
      <c r="B639" s="5"/>
      <c r="C639" s="7"/>
      <c r="D639" s="7"/>
      <c r="E639" s="7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5">
      <c r="A640" s="4"/>
      <c r="B640" s="5"/>
      <c r="C640" s="7"/>
      <c r="D640" s="7"/>
      <c r="E640" s="7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5">
      <c r="A641" s="4"/>
      <c r="B641" s="5"/>
      <c r="C641" s="7"/>
      <c r="D641" s="7"/>
      <c r="E641" s="7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5">
      <c r="A642" s="4"/>
      <c r="B642" s="5"/>
      <c r="C642" s="7"/>
      <c r="D642" s="7"/>
      <c r="E642" s="7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5">
      <c r="A643" s="4"/>
      <c r="B643" s="5"/>
      <c r="C643" s="7"/>
      <c r="D643" s="7"/>
      <c r="E643" s="7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5">
      <c r="A644" s="4"/>
      <c r="B644" s="5"/>
      <c r="C644" s="7"/>
      <c r="D644" s="7"/>
      <c r="E644" s="7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5">
      <c r="A645" s="4"/>
      <c r="B645" s="5"/>
      <c r="C645" s="7"/>
      <c r="D645" s="7"/>
      <c r="E645" s="7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5">
      <c r="A646" s="4"/>
      <c r="B646" s="5"/>
      <c r="C646" s="7"/>
      <c r="D646" s="7"/>
      <c r="E646" s="7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5">
      <c r="A647" s="4"/>
      <c r="B647" s="5"/>
      <c r="C647" s="7"/>
      <c r="D647" s="7"/>
      <c r="E647" s="7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5">
      <c r="A648" s="4"/>
      <c r="B648" s="5"/>
      <c r="C648" s="7"/>
      <c r="D648" s="7"/>
      <c r="E648" s="7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5">
      <c r="A649" s="4"/>
      <c r="B649" s="5"/>
      <c r="C649" s="7"/>
      <c r="D649" s="7"/>
      <c r="E649" s="7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5">
      <c r="A650" s="4"/>
      <c r="B650" s="5"/>
      <c r="C650" s="7"/>
      <c r="D650" s="7"/>
      <c r="E650" s="7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5">
      <c r="A651" s="4"/>
      <c r="B651" s="5"/>
      <c r="C651" s="7"/>
      <c r="D651" s="7"/>
      <c r="E651" s="7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5">
      <c r="A652" s="4"/>
      <c r="B652" s="5"/>
      <c r="C652" s="7"/>
      <c r="D652" s="7"/>
      <c r="E652" s="7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5">
      <c r="A653" s="4"/>
      <c r="B653" s="5"/>
      <c r="C653" s="7"/>
      <c r="D653" s="7"/>
      <c r="E653" s="7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5">
      <c r="A654" s="4"/>
      <c r="B654" s="5"/>
      <c r="C654" s="7"/>
      <c r="D654" s="7"/>
      <c r="E654" s="7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5">
      <c r="A655" s="4"/>
      <c r="B655" s="5"/>
      <c r="C655" s="7"/>
      <c r="D655" s="7"/>
      <c r="E655" s="7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5">
      <c r="A656" s="4"/>
      <c r="B656" s="5"/>
      <c r="C656" s="7"/>
      <c r="D656" s="7"/>
      <c r="E656" s="7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5">
      <c r="A657" s="4"/>
      <c r="B657" s="5"/>
      <c r="C657" s="7"/>
      <c r="D657" s="7"/>
      <c r="E657" s="7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5">
      <c r="A658" s="4"/>
      <c r="B658" s="5"/>
      <c r="C658" s="7"/>
      <c r="D658" s="7"/>
      <c r="E658" s="7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5">
      <c r="A659" s="4"/>
      <c r="B659" s="5"/>
      <c r="C659" s="7"/>
      <c r="D659" s="7"/>
      <c r="E659" s="7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5">
      <c r="A660" s="4"/>
      <c r="B660" s="5"/>
      <c r="C660" s="7"/>
      <c r="D660" s="7"/>
      <c r="E660" s="7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5">
      <c r="A661" s="4"/>
      <c r="B661" s="5"/>
      <c r="C661" s="7"/>
      <c r="D661" s="7"/>
      <c r="E661" s="7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5">
      <c r="A662" s="4"/>
      <c r="B662" s="5"/>
      <c r="C662" s="7"/>
      <c r="D662" s="7"/>
      <c r="E662" s="7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5">
      <c r="A663" s="4"/>
      <c r="B663" s="5"/>
      <c r="C663" s="7"/>
      <c r="D663" s="7"/>
      <c r="E663" s="7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5">
      <c r="A664" s="4"/>
      <c r="B664" s="5"/>
      <c r="C664" s="7"/>
      <c r="D664" s="7"/>
      <c r="E664" s="7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5">
      <c r="A665" s="4"/>
      <c r="B665" s="5"/>
      <c r="C665" s="7"/>
      <c r="D665" s="7"/>
      <c r="E665" s="7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5">
      <c r="A666" s="4"/>
      <c r="B666" s="5"/>
      <c r="C666" s="7"/>
      <c r="D666" s="7"/>
      <c r="E666" s="7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5">
      <c r="A667" s="4"/>
      <c r="B667" s="5"/>
      <c r="C667" s="7"/>
      <c r="D667" s="7"/>
      <c r="E667" s="7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5">
      <c r="A668" s="4"/>
      <c r="B668" s="5"/>
      <c r="C668" s="7"/>
      <c r="D668" s="7"/>
      <c r="E668" s="7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5">
      <c r="A669" s="4"/>
      <c r="B669" s="5"/>
      <c r="C669" s="7"/>
      <c r="D669" s="7"/>
      <c r="E669" s="7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5">
      <c r="A670" s="4"/>
      <c r="B670" s="5"/>
      <c r="C670" s="7"/>
      <c r="D670" s="7"/>
      <c r="E670" s="7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5">
      <c r="A671" s="4"/>
      <c r="B671" s="5"/>
      <c r="C671" s="7"/>
      <c r="D671" s="7"/>
      <c r="E671" s="7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5">
      <c r="A672" s="4"/>
      <c r="B672" s="5"/>
      <c r="C672" s="7"/>
      <c r="D672" s="7"/>
      <c r="E672" s="7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5">
      <c r="A673" s="4"/>
      <c r="B673" s="5"/>
      <c r="C673" s="7"/>
      <c r="D673" s="7"/>
      <c r="E673" s="7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5">
      <c r="A674" s="4"/>
      <c r="B674" s="5"/>
      <c r="C674" s="7"/>
      <c r="D674" s="7"/>
      <c r="E674" s="7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5">
      <c r="A675" s="4"/>
      <c r="B675" s="5"/>
      <c r="C675" s="7"/>
      <c r="D675" s="7"/>
      <c r="E675" s="7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5">
      <c r="A676" s="4"/>
      <c r="B676" s="5"/>
      <c r="C676" s="7"/>
      <c r="D676" s="7"/>
      <c r="E676" s="7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5">
      <c r="A677" s="4"/>
      <c r="B677" s="5"/>
      <c r="C677" s="7"/>
      <c r="D677" s="7"/>
      <c r="E677" s="7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5">
      <c r="A678" s="4"/>
      <c r="B678" s="5"/>
      <c r="C678" s="7"/>
      <c r="D678" s="7"/>
      <c r="E678" s="7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5">
      <c r="A679" s="4"/>
      <c r="B679" s="5"/>
      <c r="C679" s="7"/>
      <c r="D679" s="7"/>
      <c r="E679" s="7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5">
      <c r="A680" s="4"/>
      <c r="B680" s="5"/>
      <c r="C680" s="7"/>
      <c r="D680" s="7"/>
      <c r="E680" s="7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5">
      <c r="A681" s="4"/>
      <c r="B681" s="5"/>
      <c r="C681" s="7"/>
      <c r="D681" s="7"/>
      <c r="E681" s="7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5">
      <c r="A682" s="4"/>
      <c r="B682" s="5"/>
      <c r="C682" s="7"/>
      <c r="D682" s="7"/>
      <c r="E682" s="7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5">
      <c r="A683" s="4"/>
      <c r="B683" s="5"/>
      <c r="C683" s="7"/>
      <c r="D683" s="7"/>
      <c r="E683" s="7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5">
      <c r="A684" s="4"/>
      <c r="B684" s="5"/>
      <c r="C684" s="7"/>
      <c r="D684" s="7"/>
      <c r="E684" s="7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5">
      <c r="A685" s="4"/>
      <c r="B685" s="5"/>
      <c r="C685" s="7"/>
      <c r="D685" s="7"/>
      <c r="E685" s="7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5">
      <c r="A686" s="4"/>
      <c r="B686" s="5"/>
      <c r="C686" s="7"/>
      <c r="D686" s="7"/>
      <c r="E686" s="7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5">
      <c r="A687" s="4"/>
      <c r="B687" s="5"/>
      <c r="C687" s="7"/>
      <c r="D687" s="7"/>
      <c r="E687" s="7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5">
      <c r="A688" s="4"/>
      <c r="B688" s="5"/>
      <c r="C688" s="7"/>
      <c r="D688" s="7"/>
      <c r="E688" s="7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5">
      <c r="A689" s="4"/>
      <c r="B689" s="5"/>
      <c r="C689" s="7"/>
      <c r="D689" s="7"/>
      <c r="E689" s="7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5">
      <c r="A690" s="4"/>
      <c r="B690" s="5"/>
      <c r="C690" s="7"/>
      <c r="D690" s="7"/>
      <c r="E690" s="7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5">
      <c r="A691" s="4"/>
      <c r="B691" s="5"/>
      <c r="C691" s="7"/>
      <c r="D691" s="7"/>
      <c r="E691" s="7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5">
      <c r="A692" s="4"/>
      <c r="B692" s="5"/>
      <c r="C692" s="7"/>
      <c r="D692" s="7"/>
      <c r="E692" s="7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5">
      <c r="A693" s="4"/>
      <c r="B693" s="5"/>
      <c r="C693" s="7"/>
      <c r="D693" s="7"/>
      <c r="E693" s="7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5">
      <c r="A694" s="4"/>
      <c r="B694" s="5"/>
      <c r="C694" s="7"/>
      <c r="D694" s="7"/>
      <c r="E694" s="7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5">
      <c r="A695" s="4"/>
      <c r="B695" s="5"/>
      <c r="C695" s="7"/>
      <c r="D695" s="7"/>
      <c r="E695" s="7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5">
      <c r="A696" s="4"/>
      <c r="B696" s="5"/>
      <c r="C696" s="7"/>
      <c r="D696" s="7"/>
      <c r="E696" s="7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5">
      <c r="A697" s="4"/>
      <c r="B697" s="5"/>
      <c r="C697" s="7"/>
      <c r="D697" s="7"/>
      <c r="E697" s="7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5">
      <c r="A698" s="4"/>
      <c r="B698" s="5"/>
      <c r="C698" s="7"/>
      <c r="D698" s="7"/>
      <c r="E698" s="7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5">
      <c r="A699" s="4"/>
      <c r="B699" s="5"/>
      <c r="C699" s="7"/>
      <c r="D699" s="7"/>
      <c r="E699" s="7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5">
      <c r="A700" s="4"/>
      <c r="B700" s="5"/>
      <c r="C700" s="7"/>
      <c r="D700" s="7"/>
      <c r="E700" s="7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5">
      <c r="A701" s="4"/>
      <c r="B701" s="5"/>
      <c r="C701" s="7"/>
      <c r="D701" s="7"/>
      <c r="E701" s="7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5">
      <c r="A702" s="4"/>
      <c r="B702" s="5"/>
      <c r="C702" s="7"/>
      <c r="D702" s="7"/>
      <c r="E702" s="7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5">
      <c r="A703" s="4"/>
      <c r="B703" s="5"/>
      <c r="C703" s="7"/>
      <c r="D703" s="7"/>
      <c r="E703" s="7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5">
      <c r="A704" s="4"/>
      <c r="B704" s="5"/>
      <c r="C704" s="7"/>
      <c r="D704" s="7"/>
      <c r="E704" s="7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5">
      <c r="A705" s="4"/>
      <c r="B705" s="5"/>
      <c r="C705" s="7"/>
      <c r="D705" s="7"/>
      <c r="E705" s="7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5">
      <c r="A706" s="4"/>
      <c r="B706" s="5"/>
      <c r="C706" s="7"/>
      <c r="D706" s="7"/>
      <c r="E706" s="7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5">
      <c r="A707" s="4"/>
      <c r="B707" s="5"/>
      <c r="C707" s="7"/>
      <c r="D707" s="7"/>
      <c r="E707" s="7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5">
      <c r="A708" s="4"/>
      <c r="B708" s="5"/>
      <c r="C708" s="7"/>
      <c r="D708" s="7"/>
      <c r="E708" s="7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5">
      <c r="A709" s="4"/>
      <c r="B709" s="5"/>
      <c r="C709" s="7"/>
      <c r="D709" s="7"/>
      <c r="E709" s="7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5">
      <c r="A710" s="4"/>
      <c r="B710" s="5"/>
      <c r="C710" s="7"/>
      <c r="D710" s="7"/>
      <c r="E710" s="7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5">
      <c r="A711" s="4"/>
      <c r="B711" s="5"/>
      <c r="C711" s="7"/>
      <c r="D711" s="7"/>
      <c r="E711" s="7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5">
      <c r="A712" s="4"/>
      <c r="B712" s="5"/>
      <c r="C712" s="7"/>
      <c r="D712" s="7"/>
      <c r="E712" s="7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5">
      <c r="A713" s="4"/>
      <c r="B713" s="5"/>
      <c r="C713" s="7"/>
      <c r="D713" s="7"/>
      <c r="E713" s="7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5">
      <c r="A714" s="4"/>
      <c r="B714" s="5"/>
      <c r="C714" s="7"/>
      <c r="D714" s="7"/>
      <c r="E714" s="7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5">
      <c r="A715" s="4"/>
      <c r="B715" s="5"/>
      <c r="C715" s="7"/>
      <c r="D715" s="7"/>
      <c r="E715" s="7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5">
      <c r="A716" s="4"/>
      <c r="B716" s="5"/>
      <c r="C716" s="7"/>
      <c r="D716" s="7"/>
      <c r="E716" s="7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5">
      <c r="A717" s="4"/>
      <c r="B717" s="5"/>
      <c r="C717" s="7"/>
      <c r="D717" s="7"/>
      <c r="E717" s="7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5">
      <c r="A718" s="4"/>
      <c r="B718" s="5"/>
      <c r="C718" s="7"/>
      <c r="D718" s="7"/>
      <c r="E718" s="7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5">
      <c r="A719" s="4"/>
      <c r="B719" s="5"/>
      <c r="C719" s="7"/>
      <c r="D719" s="7"/>
      <c r="E719" s="7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5">
      <c r="A720" s="4"/>
      <c r="B720" s="5"/>
      <c r="C720" s="7"/>
      <c r="D720" s="7"/>
      <c r="E720" s="7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5">
      <c r="A721" s="4"/>
      <c r="B721" s="5"/>
      <c r="C721" s="7"/>
      <c r="D721" s="7"/>
      <c r="E721" s="7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5">
      <c r="A722" s="4"/>
      <c r="B722" s="5"/>
      <c r="C722" s="7"/>
      <c r="D722" s="7"/>
      <c r="E722" s="7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5">
      <c r="A723" s="4"/>
      <c r="B723" s="5"/>
      <c r="C723" s="7"/>
      <c r="D723" s="7"/>
      <c r="E723" s="7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5">
      <c r="A724" s="4"/>
      <c r="B724" s="5"/>
      <c r="C724" s="7"/>
      <c r="D724" s="7"/>
      <c r="E724" s="7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5">
      <c r="A725" s="4"/>
      <c r="B725" s="5"/>
      <c r="C725" s="7"/>
      <c r="D725" s="7"/>
      <c r="E725" s="7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5">
      <c r="A726" s="4"/>
      <c r="B726" s="5"/>
      <c r="C726" s="7"/>
      <c r="D726" s="7"/>
      <c r="E726" s="7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5">
      <c r="A727" s="4"/>
      <c r="B727" s="5"/>
      <c r="C727" s="7"/>
      <c r="D727" s="7"/>
      <c r="E727" s="7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5">
      <c r="A728" s="4"/>
      <c r="B728" s="5"/>
      <c r="C728" s="7"/>
      <c r="D728" s="7"/>
      <c r="E728" s="7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5">
      <c r="A729" s="4"/>
      <c r="B729" s="5"/>
      <c r="C729" s="7"/>
      <c r="D729" s="7"/>
      <c r="E729" s="7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5">
      <c r="A730" s="4"/>
      <c r="B730" s="5"/>
      <c r="C730" s="7"/>
      <c r="D730" s="7"/>
      <c r="E730" s="7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5">
      <c r="A731" s="4"/>
      <c r="B731" s="5"/>
      <c r="C731" s="7"/>
      <c r="D731" s="7"/>
      <c r="E731" s="7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5">
      <c r="A732" s="4"/>
      <c r="B732" s="5"/>
      <c r="C732" s="7"/>
      <c r="D732" s="7"/>
      <c r="E732" s="7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5">
      <c r="A733" s="4"/>
      <c r="B733" s="5"/>
      <c r="C733" s="7"/>
      <c r="D733" s="7"/>
      <c r="E733" s="7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5">
      <c r="A734" s="4"/>
      <c r="B734" s="5"/>
      <c r="C734" s="7"/>
      <c r="D734" s="7"/>
      <c r="E734" s="7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5">
      <c r="A735" s="4"/>
      <c r="B735" s="5"/>
      <c r="C735" s="7"/>
      <c r="D735" s="7"/>
      <c r="E735" s="7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5">
      <c r="A736" s="4"/>
      <c r="B736" s="5"/>
      <c r="C736" s="7"/>
      <c r="D736" s="7"/>
      <c r="E736" s="7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5">
      <c r="A737" s="4"/>
      <c r="B737" s="5"/>
      <c r="C737" s="7"/>
      <c r="D737" s="7"/>
      <c r="E737" s="7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5">
      <c r="A738" s="4"/>
      <c r="B738" s="5"/>
      <c r="C738" s="7"/>
      <c r="D738" s="7"/>
      <c r="E738" s="7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5">
      <c r="A739" s="4"/>
      <c r="B739" s="5"/>
      <c r="C739" s="7"/>
      <c r="D739" s="7"/>
      <c r="E739" s="7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5">
      <c r="A740" s="4"/>
      <c r="B740" s="5"/>
      <c r="C740" s="7"/>
      <c r="D740" s="7"/>
      <c r="E740" s="7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5">
      <c r="A741" s="4"/>
      <c r="B741" s="5"/>
      <c r="C741" s="7"/>
      <c r="D741" s="7"/>
      <c r="E741" s="7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5">
      <c r="A742" s="4"/>
      <c r="B742" s="5"/>
      <c r="C742" s="7"/>
      <c r="D742" s="7"/>
      <c r="E742" s="7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5">
      <c r="A743" s="4"/>
      <c r="B743" s="5"/>
      <c r="C743" s="7"/>
      <c r="D743" s="7"/>
      <c r="E743" s="7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5">
      <c r="A744" s="4"/>
      <c r="B744" s="5"/>
      <c r="C744" s="7"/>
      <c r="D744" s="7"/>
      <c r="E744" s="7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5">
      <c r="A745" s="4"/>
      <c r="B745" s="5"/>
      <c r="C745" s="7"/>
      <c r="D745" s="7"/>
      <c r="E745" s="7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5">
      <c r="A746" s="4"/>
      <c r="B746" s="5"/>
      <c r="C746" s="7"/>
      <c r="D746" s="7"/>
      <c r="E746" s="7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5">
      <c r="A747" s="4"/>
      <c r="B747" s="5"/>
      <c r="C747" s="7"/>
      <c r="D747" s="7"/>
      <c r="E747" s="7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5">
      <c r="A748" s="4"/>
      <c r="B748" s="5"/>
      <c r="C748" s="7"/>
      <c r="D748" s="7"/>
      <c r="E748" s="7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5">
      <c r="A749" s="4"/>
      <c r="B749" s="5"/>
      <c r="C749" s="7"/>
      <c r="D749" s="7"/>
      <c r="E749" s="7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5">
      <c r="A750" s="4"/>
      <c r="B750" s="5"/>
      <c r="C750" s="7"/>
      <c r="D750" s="7"/>
      <c r="E750" s="7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5">
      <c r="A751" s="4"/>
      <c r="B751" s="5"/>
      <c r="C751" s="7"/>
      <c r="D751" s="7"/>
      <c r="E751" s="7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5">
      <c r="A752" s="4"/>
      <c r="B752" s="5"/>
      <c r="C752" s="7"/>
      <c r="D752" s="7"/>
      <c r="E752" s="7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5">
      <c r="A753" s="4"/>
      <c r="B753" s="5"/>
      <c r="C753" s="7"/>
      <c r="D753" s="7"/>
      <c r="E753" s="7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5">
      <c r="A754" s="4"/>
      <c r="B754" s="5"/>
      <c r="C754" s="7"/>
      <c r="D754" s="7"/>
      <c r="E754" s="7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5">
      <c r="A755" s="4"/>
      <c r="B755" s="5"/>
      <c r="C755" s="7"/>
      <c r="D755" s="7"/>
      <c r="E755" s="7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5">
      <c r="A756" s="4"/>
      <c r="B756" s="5"/>
      <c r="C756" s="7"/>
      <c r="D756" s="7"/>
      <c r="E756" s="7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5">
      <c r="A757" s="4"/>
      <c r="B757" s="5"/>
      <c r="C757" s="7"/>
      <c r="D757" s="7"/>
      <c r="E757" s="7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5">
      <c r="A758" s="4"/>
      <c r="B758" s="5"/>
      <c r="C758" s="7"/>
      <c r="D758" s="7"/>
      <c r="E758" s="7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5">
      <c r="A759" s="4"/>
      <c r="B759" s="5"/>
      <c r="C759" s="7"/>
      <c r="D759" s="7"/>
      <c r="E759" s="7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5">
      <c r="A760" s="4"/>
      <c r="B760" s="5"/>
      <c r="C760" s="7"/>
      <c r="D760" s="7"/>
      <c r="E760" s="7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5">
      <c r="A761" s="4"/>
      <c r="B761" s="5"/>
      <c r="C761" s="7"/>
      <c r="D761" s="7"/>
      <c r="E761" s="7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5">
      <c r="A762" s="4"/>
      <c r="B762" s="5"/>
      <c r="C762" s="7"/>
      <c r="D762" s="7"/>
      <c r="E762" s="7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5">
      <c r="A763" s="4"/>
      <c r="B763" s="5"/>
      <c r="C763" s="7"/>
      <c r="D763" s="7"/>
      <c r="E763" s="7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5">
      <c r="A764" s="4"/>
      <c r="B764" s="5"/>
      <c r="C764" s="7"/>
      <c r="D764" s="7"/>
      <c r="E764" s="7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5">
      <c r="A765" s="4"/>
      <c r="B765" s="5"/>
      <c r="C765" s="7"/>
      <c r="D765" s="7"/>
      <c r="E765" s="7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5">
      <c r="A766" s="4"/>
      <c r="B766" s="5"/>
      <c r="C766" s="7"/>
      <c r="D766" s="7"/>
      <c r="E766" s="7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5">
      <c r="A767" s="4"/>
      <c r="B767" s="5"/>
      <c r="C767" s="7"/>
      <c r="D767" s="7"/>
      <c r="E767" s="7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5">
      <c r="A768" s="4"/>
      <c r="B768" s="5"/>
      <c r="C768" s="7"/>
      <c r="D768" s="7"/>
      <c r="E768" s="7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5">
      <c r="A769" s="4"/>
      <c r="B769" s="5"/>
      <c r="C769" s="7"/>
      <c r="D769" s="7"/>
      <c r="E769" s="7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5">
      <c r="A770" s="4"/>
      <c r="B770" s="5"/>
      <c r="C770" s="7"/>
      <c r="D770" s="7"/>
      <c r="E770" s="7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5">
      <c r="A771" s="4"/>
      <c r="B771" s="5"/>
      <c r="C771" s="7"/>
      <c r="D771" s="7"/>
      <c r="E771" s="7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5">
      <c r="A772" s="4"/>
      <c r="B772" s="5"/>
      <c r="C772" s="7"/>
      <c r="D772" s="7"/>
      <c r="E772" s="7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5">
      <c r="A773" s="4"/>
      <c r="B773" s="5"/>
      <c r="C773" s="7"/>
      <c r="D773" s="7"/>
      <c r="E773" s="7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5">
      <c r="A774" s="4"/>
      <c r="B774" s="5"/>
      <c r="C774" s="7"/>
      <c r="D774" s="7"/>
      <c r="E774" s="7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5">
      <c r="A775" s="4"/>
      <c r="B775" s="5"/>
      <c r="C775" s="7"/>
      <c r="D775" s="7"/>
      <c r="E775" s="7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5">
      <c r="A776" s="4"/>
      <c r="B776" s="5"/>
      <c r="C776" s="7"/>
      <c r="D776" s="7"/>
      <c r="E776" s="7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5">
      <c r="A777" s="4"/>
      <c r="B777" s="5"/>
      <c r="C777" s="7"/>
      <c r="D777" s="7"/>
      <c r="E777" s="7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5">
      <c r="A778" s="4"/>
      <c r="B778" s="5"/>
      <c r="C778" s="7"/>
      <c r="D778" s="7"/>
      <c r="E778" s="7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5">
      <c r="A779" s="4"/>
      <c r="B779" s="5"/>
      <c r="C779" s="7"/>
      <c r="D779" s="7"/>
      <c r="E779" s="7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5">
      <c r="A780" s="4"/>
      <c r="B780" s="5"/>
      <c r="C780" s="7"/>
      <c r="D780" s="7"/>
      <c r="E780" s="7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5">
      <c r="A781" s="4"/>
      <c r="B781" s="5"/>
      <c r="C781" s="7"/>
      <c r="D781" s="7"/>
      <c r="E781" s="7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5">
      <c r="A782" s="4"/>
      <c r="B782" s="5"/>
      <c r="C782" s="7"/>
      <c r="D782" s="7"/>
      <c r="E782" s="7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5">
      <c r="A783" s="4"/>
      <c r="B783" s="5"/>
      <c r="C783" s="7"/>
      <c r="D783" s="7"/>
      <c r="E783" s="7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5">
      <c r="A784" s="4"/>
      <c r="B784" s="5"/>
      <c r="C784" s="7"/>
      <c r="D784" s="7"/>
      <c r="E784" s="7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5">
      <c r="A785" s="4"/>
      <c r="B785" s="5"/>
      <c r="C785" s="7"/>
      <c r="D785" s="7"/>
      <c r="E785" s="7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5">
      <c r="A786" s="4"/>
      <c r="B786" s="5"/>
      <c r="C786" s="7"/>
      <c r="D786" s="7"/>
      <c r="E786" s="7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5">
      <c r="A787" s="4"/>
      <c r="B787" s="5"/>
      <c r="C787" s="7"/>
      <c r="D787" s="7"/>
      <c r="E787" s="7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5">
      <c r="A788" s="4"/>
      <c r="B788" s="5"/>
      <c r="C788" s="7"/>
      <c r="D788" s="7"/>
      <c r="E788" s="7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5">
      <c r="A789" s="4"/>
      <c r="B789" s="5"/>
      <c r="C789" s="7"/>
      <c r="D789" s="7"/>
      <c r="E789" s="7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5">
      <c r="A790" s="4"/>
      <c r="B790" s="5"/>
      <c r="C790" s="7"/>
      <c r="D790" s="7"/>
      <c r="E790" s="7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5">
      <c r="A791" s="4"/>
      <c r="B791" s="5"/>
      <c r="C791" s="7"/>
      <c r="D791" s="7"/>
      <c r="E791" s="7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5">
      <c r="A792" s="4"/>
      <c r="B792" s="5"/>
      <c r="C792" s="7"/>
      <c r="D792" s="7"/>
      <c r="E792" s="7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5">
      <c r="A793" s="4"/>
      <c r="B793" s="5"/>
      <c r="C793" s="7"/>
      <c r="D793" s="7"/>
      <c r="E793" s="7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5">
      <c r="A794" s="4"/>
      <c r="B794" s="5"/>
      <c r="C794" s="7"/>
      <c r="D794" s="7"/>
      <c r="E794" s="7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5">
      <c r="A795" s="4"/>
      <c r="B795" s="5"/>
      <c r="C795" s="7"/>
      <c r="D795" s="7"/>
      <c r="E795" s="7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5">
      <c r="A796" s="4"/>
      <c r="B796" s="5"/>
      <c r="C796" s="7"/>
      <c r="D796" s="7"/>
      <c r="E796" s="7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5">
      <c r="A797" s="4"/>
      <c r="B797" s="5"/>
      <c r="C797" s="7"/>
      <c r="D797" s="7"/>
      <c r="E797" s="7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5">
      <c r="A798" s="4"/>
      <c r="B798" s="5"/>
      <c r="C798" s="7"/>
      <c r="D798" s="7"/>
      <c r="E798" s="7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5">
      <c r="A799" s="4"/>
      <c r="B799" s="5"/>
      <c r="C799" s="7"/>
      <c r="D799" s="7"/>
      <c r="E799" s="7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5">
      <c r="A800" s="4"/>
      <c r="B800" s="5"/>
      <c r="C800" s="7"/>
      <c r="D800" s="7"/>
      <c r="E800" s="7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5">
      <c r="A801" s="4"/>
      <c r="B801" s="5"/>
      <c r="C801" s="7"/>
      <c r="D801" s="7"/>
      <c r="E801" s="7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5">
      <c r="A802" s="4"/>
      <c r="B802" s="5"/>
      <c r="C802" s="7"/>
      <c r="D802" s="7"/>
      <c r="E802" s="7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5">
      <c r="A803" s="4"/>
      <c r="B803" s="5"/>
      <c r="C803" s="7"/>
      <c r="D803" s="7"/>
      <c r="E803" s="7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5">
      <c r="A804" s="4"/>
      <c r="B804" s="5"/>
      <c r="C804" s="7"/>
      <c r="D804" s="7"/>
      <c r="E804" s="7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5">
      <c r="A805" s="4"/>
      <c r="B805" s="5"/>
      <c r="C805" s="7"/>
      <c r="D805" s="7"/>
      <c r="E805" s="7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5">
      <c r="A806" s="4"/>
      <c r="B806" s="5"/>
      <c r="C806" s="7"/>
      <c r="D806" s="7"/>
      <c r="E806" s="7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5">
      <c r="A807" s="4"/>
      <c r="B807" s="5"/>
      <c r="C807" s="7"/>
      <c r="D807" s="7"/>
      <c r="E807" s="7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5">
      <c r="A808" s="4"/>
      <c r="B808" s="5"/>
      <c r="C808" s="7"/>
      <c r="D808" s="7"/>
      <c r="E808" s="7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5">
      <c r="A809" s="4"/>
      <c r="B809" s="5"/>
      <c r="C809" s="7"/>
      <c r="D809" s="7"/>
      <c r="E809" s="7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5">
      <c r="A810" s="4"/>
      <c r="B810" s="5"/>
      <c r="C810" s="7"/>
      <c r="D810" s="7"/>
      <c r="E810" s="7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5">
      <c r="A811" s="4"/>
      <c r="B811" s="5"/>
      <c r="C811" s="7"/>
      <c r="D811" s="7"/>
      <c r="E811" s="7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5">
      <c r="A812" s="4"/>
      <c r="B812" s="5"/>
      <c r="C812" s="7"/>
      <c r="D812" s="7"/>
      <c r="E812" s="7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5">
      <c r="A813" s="4"/>
      <c r="B813" s="5"/>
      <c r="C813" s="7"/>
      <c r="D813" s="7"/>
      <c r="E813" s="7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5">
      <c r="A814" s="4"/>
      <c r="B814" s="5"/>
      <c r="C814" s="7"/>
      <c r="D814" s="7"/>
      <c r="E814" s="7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5">
      <c r="A815" s="4"/>
      <c r="B815" s="5"/>
      <c r="C815" s="7"/>
      <c r="D815" s="7"/>
      <c r="E815" s="7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5">
      <c r="A816" s="4"/>
      <c r="B816" s="5"/>
      <c r="C816" s="7"/>
      <c r="D816" s="7"/>
      <c r="E816" s="7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5">
      <c r="A817" s="4"/>
      <c r="B817" s="5"/>
      <c r="C817" s="7"/>
      <c r="D817" s="7"/>
      <c r="E817" s="7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5">
      <c r="A818" s="4"/>
      <c r="B818" s="5"/>
      <c r="C818" s="7"/>
      <c r="D818" s="7"/>
      <c r="E818" s="7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5">
      <c r="A819" s="4"/>
      <c r="B819" s="5"/>
      <c r="C819" s="7"/>
      <c r="D819" s="7"/>
      <c r="E819" s="7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5">
      <c r="A820" s="4"/>
      <c r="B820" s="5"/>
      <c r="C820" s="7"/>
      <c r="D820" s="7"/>
      <c r="E820" s="7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5">
      <c r="A821" s="4"/>
      <c r="B821" s="5"/>
      <c r="C821" s="7"/>
      <c r="D821" s="7"/>
      <c r="E821" s="7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5">
      <c r="A822" s="4"/>
      <c r="B822" s="5"/>
      <c r="C822" s="7"/>
      <c r="D822" s="7"/>
      <c r="E822" s="7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5">
      <c r="A823" s="4"/>
      <c r="B823" s="5"/>
      <c r="C823" s="7"/>
      <c r="D823" s="7"/>
      <c r="E823" s="7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5">
      <c r="A824" s="4"/>
      <c r="B824" s="5"/>
      <c r="C824" s="7"/>
      <c r="D824" s="7"/>
      <c r="E824" s="7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5">
      <c r="A825" s="4"/>
      <c r="B825" s="5"/>
      <c r="C825" s="7"/>
      <c r="D825" s="7"/>
      <c r="E825" s="7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5">
      <c r="A826" s="4"/>
      <c r="B826" s="5"/>
      <c r="C826" s="7"/>
      <c r="D826" s="7"/>
      <c r="E826" s="7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5">
      <c r="A827" s="4"/>
      <c r="B827" s="5"/>
      <c r="C827" s="7"/>
      <c r="D827" s="7"/>
      <c r="E827" s="7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5">
      <c r="A828" s="4"/>
      <c r="B828" s="5"/>
      <c r="C828" s="7"/>
      <c r="D828" s="7"/>
      <c r="E828" s="7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5">
      <c r="A829" s="4"/>
      <c r="B829" s="5"/>
      <c r="C829" s="7"/>
      <c r="D829" s="7"/>
      <c r="E829" s="7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5">
      <c r="A830" s="4"/>
      <c r="B830" s="5"/>
      <c r="C830" s="7"/>
      <c r="D830" s="7"/>
      <c r="E830" s="7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5">
      <c r="A831" s="4"/>
      <c r="B831" s="5"/>
      <c r="C831" s="7"/>
      <c r="D831" s="7"/>
      <c r="E831" s="7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5">
      <c r="A832" s="4"/>
      <c r="B832" s="5"/>
      <c r="C832" s="7"/>
      <c r="D832" s="7"/>
      <c r="E832" s="7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5">
      <c r="A833" s="4"/>
      <c r="B833" s="5"/>
      <c r="C833" s="7"/>
      <c r="D833" s="7"/>
      <c r="E833" s="7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5">
      <c r="A834" s="4"/>
      <c r="B834" s="5"/>
      <c r="C834" s="7"/>
      <c r="D834" s="7"/>
      <c r="E834" s="7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5">
      <c r="A835" s="4"/>
      <c r="B835" s="5"/>
      <c r="C835" s="7"/>
      <c r="D835" s="7"/>
      <c r="E835" s="7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5">
      <c r="A836" s="4"/>
      <c r="B836" s="5"/>
      <c r="C836" s="7"/>
      <c r="D836" s="7"/>
      <c r="E836" s="7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5">
      <c r="A837" s="4"/>
      <c r="B837" s="5"/>
      <c r="C837" s="7"/>
      <c r="D837" s="7"/>
      <c r="E837" s="7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5">
      <c r="A838" s="4"/>
      <c r="B838" s="5"/>
      <c r="C838" s="7"/>
      <c r="D838" s="7"/>
      <c r="E838" s="7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5">
      <c r="A839" s="4"/>
      <c r="B839" s="5"/>
      <c r="C839" s="7"/>
      <c r="D839" s="7"/>
      <c r="E839" s="7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5">
      <c r="A840" s="4"/>
      <c r="B840" s="5"/>
      <c r="C840" s="7"/>
      <c r="D840" s="7"/>
      <c r="E840" s="7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5">
      <c r="A841" s="4"/>
      <c r="B841" s="5"/>
      <c r="C841" s="7"/>
      <c r="D841" s="7"/>
      <c r="E841" s="7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5">
      <c r="A842" s="4"/>
      <c r="B842" s="5"/>
      <c r="C842" s="7"/>
      <c r="D842" s="7"/>
      <c r="E842" s="7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5">
      <c r="A843" s="4"/>
      <c r="B843" s="5"/>
      <c r="C843" s="7"/>
      <c r="D843" s="7"/>
      <c r="E843" s="7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5">
      <c r="A844" s="4"/>
      <c r="B844" s="5"/>
      <c r="C844" s="7"/>
      <c r="D844" s="7"/>
      <c r="E844" s="7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5">
      <c r="A845" s="4"/>
      <c r="B845" s="5"/>
      <c r="C845" s="7"/>
      <c r="D845" s="7"/>
      <c r="E845" s="7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5">
      <c r="A846" s="4"/>
      <c r="B846" s="5"/>
      <c r="C846" s="7"/>
      <c r="D846" s="7"/>
      <c r="E846" s="7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5">
      <c r="A847" s="4"/>
      <c r="B847" s="5"/>
      <c r="C847" s="7"/>
      <c r="D847" s="7"/>
      <c r="E847" s="7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5">
      <c r="A848" s="4"/>
      <c r="B848" s="5"/>
      <c r="C848" s="7"/>
      <c r="D848" s="7"/>
      <c r="E848" s="7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5">
      <c r="A849" s="4"/>
      <c r="B849" s="5"/>
      <c r="C849" s="7"/>
      <c r="D849" s="7"/>
      <c r="E849" s="7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5">
      <c r="A850" s="4"/>
      <c r="B850" s="5"/>
      <c r="C850" s="7"/>
      <c r="D850" s="7"/>
      <c r="E850" s="7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5">
      <c r="A851" s="4"/>
      <c r="B851" s="5"/>
      <c r="C851" s="7"/>
      <c r="D851" s="7"/>
      <c r="E851" s="7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5">
      <c r="A852" s="4"/>
      <c r="B852" s="5"/>
      <c r="C852" s="7"/>
      <c r="D852" s="7"/>
      <c r="E852" s="7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5">
      <c r="A853" s="4"/>
      <c r="B853" s="5"/>
      <c r="C853" s="7"/>
      <c r="D853" s="7"/>
      <c r="E853" s="7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5">
      <c r="A854" s="4"/>
      <c r="B854" s="5"/>
      <c r="C854" s="7"/>
      <c r="D854" s="7"/>
      <c r="E854" s="7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5">
      <c r="A855" s="4"/>
      <c r="B855" s="5"/>
      <c r="C855" s="7"/>
      <c r="D855" s="7"/>
      <c r="E855" s="7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5">
      <c r="A856" s="4"/>
      <c r="B856" s="5"/>
      <c r="C856" s="7"/>
      <c r="D856" s="7"/>
      <c r="E856" s="7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5">
      <c r="A857" s="4"/>
      <c r="B857" s="5"/>
      <c r="C857" s="7"/>
      <c r="D857" s="7"/>
      <c r="E857" s="7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5">
      <c r="A858" s="4"/>
      <c r="B858" s="5"/>
      <c r="C858" s="7"/>
      <c r="D858" s="7"/>
      <c r="E858" s="7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5">
      <c r="A859" s="4"/>
      <c r="B859" s="5"/>
      <c r="C859" s="7"/>
      <c r="D859" s="7"/>
      <c r="E859" s="7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5">
      <c r="A860" s="4"/>
      <c r="B860" s="5"/>
      <c r="C860" s="7"/>
      <c r="D860" s="7"/>
      <c r="E860" s="7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5">
      <c r="A861" s="4"/>
      <c r="B861" s="5"/>
      <c r="C861" s="7"/>
      <c r="D861" s="7"/>
      <c r="E861" s="7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5">
      <c r="A862" s="4"/>
      <c r="B862" s="5"/>
      <c r="C862" s="7"/>
      <c r="D862" s="7"/>
      <c r="E862" s="7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5">
      <c r="A863" s="4"/>
      <c r="B863" s="5"/>
      <c r="C863" s="7"/>
      <c r="D863" s="7"/>
      <c r="E863" s="7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5">
      <c r="A864" s="4"/>
      <c r="B864" s="5"/>
      <c r="C864" s="7"/>
      <c r="D864" s="7"/>
      <c r="E864" s="7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5">
      <c r="A865" s="4"/>
      <c r="B865" s="5"/>
      <c r="C865" s="7"/>
      <c r="D865" s="7"/>
      <c r="E865" s="7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5">
      <c r="A866" s="4"/>
      <c r="B866" s="5"/>
      <c r="C866" s="7"/>
      <c r="D866" s="7"/>
      <c r="E866" s="7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5">
      <c r="A867" s="4"/>
      <c r="B867" s="5"/>
      <c r="C867" s="7"/>
      <c r="D867" s="7"/>
      <c r="E867" s="7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5">
      <c r="A868" s="4"/>
      <c r="B868" s="5"/>
      <c r="C868" s="7"/>
      <c r="D868" s="7"/>
      <c r="E868" s="7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5">
      <c r="A869" s="4"/>
      <c r="B869" s="5"/>
      <c r="C869" s="7"/>
      <c r="D869" s="7"/>
      <c r="E869" s="7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5">
      <c r="A870" s="4"/>
      <c r="B870" s="5"/>
      <c r="C870" s="7"/>
      <c r="D870" s="7"/>
      <c r="E870" s="7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5">
      <c r="A871" s="4"/>
      <c r="B871" s="5"/>
      <c r="C871" s="7"/>
      <c r="D871" s="7"/>
      <c r="E871" s="7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5">
      <c r="A872" s="4"/>
      <c r="B872" s="5"/>
      <c r="C872" s="7"/>
      <c r="D872" s="7"/>
      <c r="E872" s="7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5">
      <c r="A873" s="4"/>
      <c r="B873" s="5"/>
      <c r="C873" s="7"/>
      <c r="D873" s="7"/>
      <c r="E873" s="7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5">
      <c r="A874" s="4"/>
      <c r="B874" s="5"/>
      <c r="C874" s="7"/>
      <c r="D874" s="7"/>
      <c r="E874" s="7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5">
      <c r="A875" s="4"/>
      <c r="B875" s="5"/>
      <c r="C875" s="7"/>
      <c r="D875" s="7"/>
      <c r="E875" s="7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5">
      <c r="A876" s="4"/>
      <c r="B876" s="5"/>
      <c r="C876" s="7"/>
      <c r="D876" s="7"/>
      <c r="E876" s="7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5">
      <c r="A877" s="4"/>
      <c r="B877" s="5"/>
      <c r="C877" s="7"/>
      <c r="D877" s="7"/>
      <c r="E877" s="7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5">
      <c r="A878" s="4"/>
      <c r="B878" s="5"/>
      <c r="C878" s="7"/>
      <c r="D878" s="7"/>
      <c r="E878" s="7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5">
      <c r="A879" s="4"/>
      <c r="B879" s="5"/>
      <c r="C879" s="7"/>
      <c r="D879" s="7"/>
      <c r="E879" s="7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5">
      <c r="A880" s="4"/>
      <c r="B880" s="5"/>
      <c r="C880" s="7"/>
      <c r="D880" s="7"/>
      <c r="E880" s="7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5">
      <c r="A881" s="4"/>
      <c r="B881" s="5"/>
      <c r="C881" s="7"/>
      <c r="D881" s="7"/>
      <c r="E881" s="7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5">
      <c r="A882" s="4"/>
      <c r="B882" s="5"/>
      <c r="C882" s="7"/>
      <c r="D882" s="7"/>
      <c r="E882" s="7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5">
      <c r="A883" s="4"/>
      <c r="B883" s="5"/>
      <c r="C883" s="7"/>
      <c r="D883" s="7"/>
      <c r="E883" s="7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5">
      <c r="A884" s="4"/>
      <c r="B884" s="5"/>
      <c r="C884" s="7"/>
      <c r="D884" s="7"/>
      <c r="E884" s="7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5">
      <c r="A885" s="4"/>
      <c r="B885" s="5"/>
      <c r="C885" s="7"/>
      <c r="D885" s="7"/>
      <c r="E885" s="7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5">
      <c r="A886" s="4"/>
      <c r="B886" s="5"/>
      <c r="C886" s="7"/>
      <c r="D886" s="7"/>
      <c r="E886" s="7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5">
      <c r="A887" s="4"/>
      <c r="B887" s="5"/>
      <c r="C887" s="7"/>
      <c r="D887" s="7"/>
      <c r="E887" s="7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5">
      <c r="A888" s="4"/>
      <c r="B888" s="5"/>
      <c r="C888" s="7"/>
      <c r="D888" s="7"/>
      <c r="E888" s="7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5">
      <c r="A889" s="4"/>
      <c r="B889" s="5"/>
      <c r="C889" s="7"/>
      <c r="D889" s="7"/>
      <c r="E889" s="7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5">
      <c r="A890" s="4"/>
      <c r="B890" s="5"/>
      <c r="C890" s="7"/>
      <c r="D890" s="7"/>
      <c r="E890" s="7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5">
      <c r="A891" s="4"/>
      <c r="B891" s="5"/>
      <c r="C891" s="7"/>
      <c r="D891" s="7"/>
      <c r="E891" s="7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5">
      <c r="A892" s="4"/>
      <c r="B892" s="5"/>
      <c r="C892" s="7"/>
      <c r="D892" s="7"/>
      <c r="E892" s="7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5">
      <c r="A893" s="4"/>
      <c r="B893" s="5"/>
      <c r="C893" s="7"/>
      <c r="D893" s="7"/>
      <c r="E893" s="7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5">
      <c r="A894" s="4"/>
      <c r="B894" s="5"/>
      <c r="C894" s="7"/>
      <c r="D894" s="7"/>
      <c r="E894" s="7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5">
      <c r="A895" s="4"/>
      <c r="B895" s="5"/>
      <c r="C895" s="7"/>
      <c r="D895" s="7"/>
      <c r="E895" s="7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5">
      <c r="A896" s="4"/>
      <c r="B896" s="5"/>
      <c r="C896" s="7"/>
      <c r="D896" s="7"/>
      <c r="E896" s="7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5">
      <c r="A897" s="4"/>
      <c r="B897" s="5"/>
      <c r="C897" s="7"/>
      <c r="D897" s="7"/>
      <c r="E897" s="7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5">
      <c r="A898" s="4"/>
      <c r="B898" s="5"/>
      <c r="C898" s="7"/>
      <c r="D898" s="7"/>
      <c r="E898" s="7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5">
      <c r="A899" s="4"/>
      <c r="B899" s="5"/>
      <c r="C899" s="7"/>
      <c r="D899" s="7"/>
      <c r="E899" s="7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5">
      <c r="A900" s="4"/>
      <c r="B900" s="5"/>
      <c r="C900" s="7"/>
      <c r="D900" s="7"/>
      <c r="E900" s="7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5">
      <c r="A901" s="4"/>
      <c r="B901" s="5"/>
      <c r="C901" s="7"/>
      <c r="D901" s="7"/>
      <c r="E901" s="7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5">
      <c r="A902" s="4"/>
      <c r="B902" s="5"/>
      <c r="C902" s="7"/>
      <c r="D902" s="7"/>
      <c r="E902" s="7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5">
      <c r="A903" s="4"/>
      <c r="B903" s="5"/>
      <c r="C903" s="7"/>
      <c r="D903" s="7"/>
      <c r="E903" s="7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5">
      <c r="A904" s="4"/>
      <c r="B904" s="5"/>
      <c r="C904" s="7"/>
      <c r="D904" s="7"/>
      <c r="E904" s="7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5">
      <c r="A905" s="4"/>
      <c r="B905" s="5"/>
      <c r="C905" s="7"/>
      <c r="D905" s="7"/>
      <c r="E905" s="7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5">
      <c r="A906" s="4"/>
      <c r="B906" s="5"/>
      <c r="C906" s="7"/>
      <c r="D906" s="7"/>
      <c r="E906" s="7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5">
      <c r="A907" s="4"/>
      <c r="B907" s="5"/>
      <c r="C907" s="7"/>
      <c r="D907" s="7"/>
      <c r="E907" s="7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5">
      <c r="A908" s="4"/>
      <c r="B908" s="5"/>
      <c r="C908" s="7"/>
      <c r="D908" s="7"/>
      <c r="E908" s="7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5">
      <c r="A909" s="4"/>
      <c r="B909" s="5"/>
      <c r="C909" s="7"/>
      <c r="D909" s="7"/>
      <c r="E909" s="7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5">
      <c r="A910" s="4"/>
      <c r="B910" s="5"/>
      <c r="C910" s="7"/>
      <c r="D910" s="7"/>
      <c r="E910" s="7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5">
      <c r="A911" s="4"/>
      <c r="B911" s="5"/>
      <c r="C911" s="7"/>
      <c r="D911" s="7"/>
      <c r="E911" s="7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5">
      <c r="A912" s="4"/>
      <c r="B912" s="5"/>
      <c r="C912" s="7"/>
      <c r="D912" s="7"/>
      <c r="E912" s="7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5">
      <c r="A913" s="4"/>
      <c r="B913" s="5"/>
      <c r="C913" s="7"/>
      <c r="D913" s="7"/>
      <c r="E913" s="7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5">
      <c r="A914" s="4"/>
      <c r="B914" s="5"/>
      <c r="C914" s="7"/>
      <c r="D914" s="7"/>
      <c r="E914" s="7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5">
      <c r="A915" s="4"/>
      <c r="B915" s="5"/>
      <c r="C915" s="7"/>
      <c r="D915" s="7"/>
      <c r="E915" s="7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5">
      <c r="A916" s="4"/>
      <c r="B916" s="5"/>
      <c r="C916" s="7"/>
      <c r="D916" s="7"/>
      <c r="E916" s="7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5">
      <c r="A917" s="4"/>
      <c r="B917" s="5"/>
      <c r="C917" s="7"/>
      <c r="D917" s="7"/>
      <c r="E917" s="7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5">
      <c r="A918" s="4"/>
      <c r="B918" s="5"/>
      <c r="C918" s="7"/>
      <c r="D918" s="7"/>
      <c r="E918" s="7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5">
      <c r="A919" s="4"/>
      <c r="B919" s="5"/>
      <c r="C919" s="7"/>
      <c r="D919" s="7"/>
      <c r="E919" s="7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5">
      <c r="A920" s="4"/>
      <c r="B920" s="5"/>
      <c r="C920" s="7"/>
      <c r="D920" s="7"/>
      <c r="E920" s="7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5">
      <c r="A921" s="4"/>
      <c r="B921" s="5"/>
      <c r="C921" s="7"/>
      <c r="D921" s="7"/>
      <c r="E921" s="7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5">
      <c r="A922" s="4"/>
      <c r="B922" s="5"/>
      <c r="C922" s="7"/>
      <c r="D922" s="7"/>
      <c r="E922" s="7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5">
      <c r="A923" s="4"/>
      <c r="B923" s="5"/>
      <c r="C923" s="7"/>
      <c r="D923" s="7"/>
      <c r="E923" s="7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5">
      <c r="A924" s="4"/>
      <c r="B924" s="5"/>
      <c r="C924" s="7"/>
      <c r="D924" s="7"/>
      <c r="E924" s="7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5">
      <c r="A925" s="4"/>
      <c r="B925" s="5"/>
      <c r="C925" s="7"/>
      <c r="D925" s="7"/>
      <c r="E925" s="7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5">
      <c r="A926" s="4"/>
      <c r="B926" s="5"/>
      <c r="C926" s="7"/>
      <c r="D926" s="7"/>
      <c r="E926" s="7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5">
      <c r="A927" s="4"/>
      <c r="B927" s="5"/>
      <c r="C927" s="7"/>
      <c r="D927" s="7"/>
      <c r="E927" s="7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5">
      <c r="A928" s="4"/>
      <c r="B928" s="5"/>
      <c r="C928" s="7"/>
      <c r="D928" s="7"/>
      <c r="E928" s="7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5">
      <c r="A929" s="4"/>
      <c r="B929" s="5"/>
      <c r="C929" s="7"/>
      <c r="D929" s="7"/>
      <c r="E929" s="7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5">
      <c r="A930" s="4"/>
      <c r="B930" s="5"/>
      <c r="C930" s="7"/>
      <c r="D930" s="7"/>
      <c r="E930" s="7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5">
      <c r="A931" s="4"/>
      <c r="B931" s="5"/>
      <c r="C931" s="7"/>
      <c r="D931" s="7"/>
      <c r="E931" s="7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5">
      <c r="A932" s="4"/>
      <c r="B932" s="5"/>
      <c r="C932" s="7"/>
      <c r="D932" s="7"/>
      <c r="E932" s="7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5">
      <c r="A933" s="4"/>
      <c r="B933" s="5"/>
      <c r="C933" s="7"/>
      <c r="D933" s="7"/>
      <c r="E933" s="7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5">
      <c r="A934" s="4"/>
      <c r="B934" s="5"/>
      <c r="C934" s="7"/>
      <c r="D934" s="7"/>
      <c r="E934" s="7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5">
      <c r="A935" s="4"/>
      <c r="B935" s="5"/>
      <c r="C935" s="7"/>
      <c r="D935" s="7"/>
      <c r="E935" s="7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5">
      <c r="A936" s="4"/>
      <c r="B936" s="5"/>
      <c r="C936" s="7"/>
      <c r="D936" s="7"/>
      <c r="E936" s="7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5">
      <c r="A937" s="4"/>
      <c r="B937" s="5"/>
      <c r="C937" s="7"/>
      <c r="D937" s="7"/>
      <c r="E937" s="7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5">
      <c r="A938" s="4"/>
      <c r="B938" s="5"/>
      <c r="C938" s="7"/>
      <c r="D938" s="7"/>
      <c r="E938" s="7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5">
      <c r="A939" s="4"/>
      <c r="B939" s="5"/>
      <c r="C939" s="7"/>
      <c r="D939" s="7"/>
      <c r="E939" s="7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5">
      <c r="A940" s="4"/>
      <c r="B940" s="5"/>
      <c r="C940" s="7"/>
      <c r="D940" s="7"/>
      <c r="E940" s="7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5">
      <c r="A941" s="4"/>
      <c r="B941" s="5"/>
      <c r="C941" s="7"/>
      <c r="D941" s="7"/>
      <c r="E941" s="7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5">
      <c r="A942" s="4"/>
      <c r="B942" s="5"/>
      <c r="C942" s="7"/>
      <c r="D942" s="7"/>
      <c r="E942" s="7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5">
      <c r="A943" s="4"/>
      <c r="B943" s="5"/>
      <c r="C943" s="7"/>
      <c r="D943" s="7"/>
      <c r="E943" s="7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5">
      <c r="A944" s="4"/>
      <c r="B944" s="5"/>
      <c r="C944" s="7"/>
      <c r="D944" s="7"/>
      <c r="E944" s="7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5">
      <c r="A945" s="4"/>
      <c r="B945" s="5"/>
      <c r="C945" s="7"/>
      <c r="D945" s="7"/>
      <c r="E945" s="7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5">
      <c r="A946" s="4"/>
      <c r="B946" s="5"/>
      <c r="C946" s="7"/>
      <c r="D946" s="7"/>
      <c r="E946" s="7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5">
      <c r="A947" s="4"/>
      <c r="B947" s="5"/>
      <c r="C947" s="7"/>
      <c r="D947" s="7"/>
      <c r="E947" s="7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5">
      <c r="A948" s="4"/>
      <c r="B948" s="5"/>
      <c r="C948" s="7"/>
      <c r="D948" s="7"/>
      <c r="E948" s="7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5">
      <c r="A949" s="4"/>
      <c r="B949" s="5"/>
      <c r="C949" s="7"/>
      <c r="D949" s="7"/>
      <c r="E949" s="7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5">
      <c r="A950" s="4"/>
      <c r="B950" s="5"/>
      <c r="C950" s="7"/>
      <c r="D950" s="7"/>
      <c r="E950" s="7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5">
      <c r="A951" s="4"/>
      <c r="B951" s="5"/>
      <c r="C951" s="7"/>
      <c r="D951" s="7"/>
      <c r="E951" s="7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5">
      <c r="A952" s="4"/>
      <c r="B952" s="5"/>
      <c r="C952" s="7"/>
      <c r="D952" s="7"/>
      <c r="E952" s="7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5">
      <c r="A953" s="4"/>
      <c r="B953" s="5"/>
      <c r="C953" s="7"/>
      <c r="D953" s="7"/>
      <c r="E953" s="7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5">
      <c r="A954" s="4"/>
      <c r="B954" s="5"/>
      <c r="C954" s="7"/>
      <c r="D954" s="7"/>
      <c r="E954" s="7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5">
      <c r="A955" s="4"/>
      <c r="B955" s="5"/>
      <c r="C955" s="7"/>
      <c r="D955" s="7"/>
      <c r="E955" s="7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5">
      <c r="A956" s="4"/>
      <c r="B956" s="5"/>
      <c r="C956" s="7"/>
      <c r="D956" s="7"/>
      <c r="E956" s="7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5">
      <c r="A957" s="4"/>
      <c r="B957" s="5"/>
      <c r="C957" s="7"/>
      <c r="D957" s="7"/>
      <c r="E957" s="7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5">
      <c r="A958" s="4"/>
      <c r="B958" s="5"/>
      <c r="C958" s="7"/>
      <c r="D958" s="7"/>
      <c r="E958" s="7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5">
      <c r="A959" s="4"/>
      <c r="B959" s="5"/>
      <c r="C959" s="7"/>
      <c r="D959" s="7"/>
      <c r="E959" s="7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5">
      <c r="A960" s="4"/>
      <c r="B960" s="5"/>
      <c r="C960" s="7"/>
      <c r="D960" s="7"/>
      <c r="E960" s="7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5">
      <c r="A961" s="4"/>
      <c r="B961" s="5"/>
      <c r="C961" s="7"/>
      <c r="D961" s="7"/>
      <c r="E961" s="7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5">
      <c r="A962" s="4"/>
      <c r="B962" s="5"/>
      <c r="C962" s="7"/>
      <c r="D962" s="7"/>
      <c r="E962" s="7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5">
      <c r="A963" s="4"/>
      <c r="B963" s="5"/>
      <c r="C963" s="7"/>
      <c r="D963" s="7"/>
      <c r="E963" s="7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5">
      <c r="A964" s="4"/>
      <c r="B964" s="5"/>
      <c r="C964" s="7"/>
      <c r="D964" s="7"/>
      <c r="E964" s="7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5">
      <c r="A965" s="4"/>
      <c r="B965" s="5"/>
      <c r="C965" s="7"/>
      <c r="D965" s="7"/>
      <c r="E965" s="7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5">
      <c r="A966" s="4"/>
      <c r="B966" s="5"/>
      <c r="C966" s="7"/>
      <c r="D966" s="7"/>
      <c r="E966" s="7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5">
      <c r="A967" s="4"/>
      <c r="B967" s="5"/>
      <c r="C967" s="7"/>
      <c r="D967" s="7"/>
      <c r="E967" s="7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5">
      <c r="A968" s="4"/>
      <c r="B968" s="5"/>
      <c r="C968" s="7"/>
      <c r="D968" s="7"/>
      <c r="E968" s="7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5">
      <c r="A969" s="4"/>
      <c r="B969" s="5"/>
      <c r="C969" s="7"/>
      <c r="D969" s="7"/>
      <c r="E969" s="7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5">
      <c r="A970" s="4"/>
      <c r="B970" s="5"/>
      <c r="C970" s="7"/>
      <c r="D970" s="7"/>
      <c r="E970" s="7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5">
      <c r="A971" s="4"/>
      <c r="B971" s="5"/>
      <c r="C971" s="7"/>
      <c r="D971" s="7"/>
      <c r="E971" s="7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5">
      <c r="A972" s="4"/>
      <c r="B972" s="5"/>
      <c r="C972" s="7"/>
      <c r="D972" s="7"/>
      <c r="E972" s="7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5">
      <c r="A973" s="4"/>
      <c r="B973" s="5"/>
      <c r="C973" s="7"/>
      <c r="D973" s="7"/>
      <c r="E973" s="7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5">
      <c r="A974" s="4"/>
      <c r="B974" s="5"/>
      <c r="C974" s="7"/>
      <c r="D974" s="7"/>
      <c r="E974" s="7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5">
      <c r="A975" s="4"/>
      <c r="B975" s="5"/>
      <c r="C975" s="7"/>
      <c r="D975" s="7"/>
      <c r="E975" s="7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5">
      <c r="A976" s="4"/>
      <c r="B976" s="5"/>
      <c r="C976" s="7"/>
      <c r="D976" s="7"/>
      <c r="E976" s="7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5">
      <c r="A977" s="4"/>
      <c r="B977" s="5"/>
      <c r="C977" s="7"/>
      <c r="D977" s="7"/>
      <c r="E977" s="7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5">
      <c r="A978" s="4"/>
      <c r="B978" s="5"/>
      <c r="C978" s="7"/>
      <c r="D978" s="7"/>
      <c r="E978" s="7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5">
      <c r="A979" s="4"/>
      <c r="B979" s="5"/>
      <c r="C979" s="7"/>
      <c r="D979" s="7"/>
      <c r="E979" s="7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5">
      <c r="A980" s="4"/>
      <c r="B980" s="5"/>
      <c r="C980" s="7"/>
      <c r="D980" s="7"/>
      <c r="E980" s="7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5">
      <c r="A981" s="4"/>
      <c r="B981" s="5"/>
      <c r="C981" s="7"/>
      <c r="D981" s="7"/>
      <c r="E981" s="7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5">
      <c r="A982" s="4"/>
      <c r="B982" s="5"/>
      <c r="C982" s="7"/>
      <c r="D982" s="7"/>
      <c r="E982" s="7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5">
      <c r="A983" s="4"/>
      <c r="B983" s="5"/>
      <c r="C983" s="7"/>
      <c r="D983" s="7"/>
      <c r="E983" s="7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5">
      <c r="A984" s="4"/>
      <c r="B984" s="5"/>
      <c r="C984" s="7"/>
      <c r="D984" s="7"/>
      <c r="E984" s="7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5">
      <c r="A985" s="4"/>
      <c r="B985" s="5"/>
      <c r="C985" s="7"/>
      <c r="D985" s="7"/>
      <c r="E985" s="7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5">
      <c r="A986" s="4"/>
      <c r="B986" s="5"/>
      <c r="C986" s="7"/>
      <c r="D986" s="7"/>
      <c r="E986" s="7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5">
      <c r="A987" s="4"/>
      <c r="B987" s="5"/>
      <c r="C987" s="7"/>
      <c r="D987" s="7"/>
      <c r="E987" s="7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5">
      <c r="A988" s="4"/>
      <c r="B988" s="5"/>
      <c r="C988" s="7"/>
      <c r="D988" s="7"/>
      <c r="E988" s="7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5">
      <c r="A989" s="4"/>
      <c r="B989" s="5"/>
      <c r="C989" s="7"/>
      <c r="D989" s="7"/>
      <c r="E989" s="7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5">
      <c r="A990" s="4"/>
      <c r="B990" s="5"/>
      <c r="C990" s="7"/>
      <c r="D990" s="7"/>
      <c r="E990" s="7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5">
      <c r="A991" s="4"/>
      <c r="B991" s="5"/>
      <c r="C991" s="7"/>
      <c r="D991" s="7"/>
      <c r="E991" s="7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5">
      <c r="A992" s="4"/>
      <c r="B992" s="5"/>
      <c r="C992" s="7"/>
      <c r="D992" s="7"/>
      <c r="E992" s="7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5">
      <c r="A993" s="4"/>
      <c r="B993" s="5"/>
      <c r="C993" s="7"/>
      <c r="D993" s="7"/>
      <c r="E993" s="7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5">
      <c r="A994" s="4"/>
      <c r="B994" s="5"/>
      <c r="C994" s="7"/>
      <c r="D994" s="7"/>
      <c r="E994" s="7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5">
      <c r="A995" s="4"/>
      <c r="B995" s="5"/>
      <c r="C995" s="7"/>
      <c r="D995" s="7"/>
      <c r="E995" s="7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5">
      <c r="A996" s="4"/>
      <c r="B996" s="5"/>
      <c r="C996" s="7"/>
      <c r="D996" s="7"/>
      <c r="E996" s="7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5">
      <c r="A997" s="4"/>
      <c r="B997" s="5"/>
      <c r="C997" s="7"/>
      <c r="D997" s="7"/>
      <c r="E997" s="7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5">
      <c r="A998" s="4"/>
      <c r="B998" s="5"/>
      <c r="C998" s="7"/>
      <c r="D998" s="7"/>
      <c r="E998" s="7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5">
      <c r="A999" s="4"/>
      <c r="B999" s="5"/>
      <c r="C999" s="7"/>
      <c r="D999" s="7"/>
      <c r="E999" s="7"/>
      <c r="F999" s="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5">
      <c r="A1000" s="4"/>
      <c r="B1000" s="5"/>
      <c r="C1000" s="7"/>
      <c r="D1000" s="7"/>
      <c r="E1000" s="7"/>
      <c r="F1000" s="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35">
      <c r="A1001" s="4"/>
      <c r="B1001" s="5"/>
      <c r="C1001" s="7"/>
      <c r="D1001" s="7"/>
      <c r="E1001" s="7"/>
      <c r="F1001" s="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 x14ac:dyDescent="0.35">
      <c r="A1002" s="4"/>
      <c r="B1002" s="5"/>
      <c r="C1002" s="7"/>
      <c r="D1002" s="7"/>
      <c r="E1002" s="7"/>
      <c r="F1002" s="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 x14ac:dyDescent="0.35">
      <c r="A1003" s="4"/>
      <c r="B1003" s="5"/>
      <c r="C1003" s="7"/>
      <c r="D1003" s="7"/>
      <c r="E1003" s="7"/>
      <c r="F1003" s="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 x14ac:dyDescent="0.35">
      <c r="A1004" s="4"/>
      <c r="B1004" s="5"/>
      <c r="C1004" s="7"/>
      <c r="D1004" s="7"/>
      <c r="E1004" s="7"/>
      <c r="F1004" s="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 x14ac:dyDescent="0.35">
      <c r="A1005" s="4"/>
      <c r="B1005" s="5"/>
      <c r="C1005" s="7"/>
      <c r="D1005" s="7"/>
      <c r="E1005" s="7"/>
      <c r="F1005" s="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2.75" customHeight="1" x14ac:dyDescent="0.35">
      <c r="A1006" s="4"/>
      <c r="B1006" s="5"/>
      <c r="C1006" s="7"/>
      <c r="D1006" s="7"/>
      <c r="E1006" s="7"/>
      <c r="F1006" s="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2.75" customHeight="1" x14ac:dyDescent="0.35">
      <c r="A1007" s="4"/>
      <c r="B1007" s="5"/>
      <c r="C1007" s="7"/>
      <c r="D1007" s="7"/>
      <c r="E1007" s="7"/>
      <c r="F1007" s="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Authentication!A1" display="Authentication" xr:uid="{00000000-0004-0000-0100-000000000000}"/>
    <hyperlink ref="D10" location="Authentication!A1" display="Authentication" xr:uid="{00000000-0004-0000-0100-000001000000}"/>
    <hyperlink ref="D11" location="Authentication!A1" display="Authentication" xr:uid="{00000000-0004-0000-0100-000002000000}"/>
    <hyperlink ref="D12" location="Authentication!A1" display="Authentication" xr:uid="{00000000-0004-0000-0100-000003000000}"/>
    <hyperlink ref="D13" location="'Home Page'!A1" display="Home Page" xr:uid="{00000000-0004-0000-0100-000004000000}"/>
    <hyperlink ref="D14" location="'Lesson Management'!A1" display="Lesson Management" xr:uid="{00000000-0004-0000-0100-000005000000}"/>
    <hyperlink ref="D15" location="'Lesson Management'!A1" display="Lesson Management" xr:uid="{00000000-0004-0000-0100-000006000000}"/>
    <hyperlink ref="D16" location="'Lesson Management'!A1" display="Lesson Management" xr:uid="{00000000-0004-0000-0100-000007000000}"/>
    <hyperlink ref="D17" location="'Admin dashboard &amp; Course listsd'!A1" display="Admin dashboard &amp; Course lists/details" xr:uid="{00000000-0004-0000-0100-000008000000}"/>
    <hyperlink ref="D18" location="'Admin dashboard &amp; Course listsd'!A1" display="Admin dashboard &amp; Course lists/details" xr:uid="{00000000-0004-0000-0100-000009000000}"/>
    <hyperlink ref="D19" location="'Admin dashboard &amp; Course listsd'!A1" display="Admin dashboard &amp; Course lists/details" xr:uid="{00000000-0004-0000-0100-00000A000000}"/>
    <hyperlink ref="D20" location="'Course Browsing'!A1" display="Course Browsing" xr:uid="{00000000-0004-0000-0100-00000B000000}"/>
    <hyperlink ref="D21" location="'Course Browsing'!A1" display="Course Browsing" xr:uid="{00000000-0004-0000-0100-00000C000000}"/>
    <hyperlink ref="D22" location="'Course Browsing'!A1" display="Course Browsing" xr:uid="{00000000-0004-0000-0100-00000D000000}"/>
    <hyperlink ref="D23" location="'Quiz&amp;Question Management'!A1" display="Quiz&amp;Question Management" xr:uid="{00000000-0004-0000-0100-00000E000000}"/>
    <hyperlink ref="D24" location="'Quiz&amp;Question Management'!A1" display="Quiz&amp;Question Management" xr:uid="{00000000-0004-0000-0100-00000F000000}"/>
    <hyperlink ref="D25" location="'Quiz&amp;Question Management'!A1" display="Quiz&amp;Question Management" xr:uid="{00000000-0004-0000-0100-000010000000}"/>
    <hyperlink ref="D26" location="'Quiz&amp;Question Management'!A1" display="Quiz&amp;Question Management" xr:uid="{00000000-0004-0000-0100-000011000000}"/>
  </hyperlinks>
  <pageMargins left="0.74791666666666667" right="0.74791666666666667" top="0.98402777777777783" bottom="1.1506944444444445" header="0" footer="0"/>
  <pageSetup paperSize="9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4"/>
  <sheetViews>
    <sheetView workbookViewId="0"/>
  </sheetViews>
  <sheetFormatPr defaultColWidth="12.59765625" defaultRowHeight="15" customHeight="1" x14ac:dyDescent="0.25"/>
  <cols>
    <col min="1" max="1" width="4.46484375" customWidth="1"/>
    <col min="2" max="2" width="18.3984375" customWidth="1"/>
    <col min="3" max="3" width="19.3984375" customWidth="1"/>
    <col min="4" max="6" width="11.59765625" customWidth="1"/>
    <col min="7" max="7" width="9" customWidth="1"/>
    <col min="8" max="8" width="35.46484375" customWidth="1"/>
    <col min="9" max="26" width="9" customWidth="1"/>
  </cols>
  <sheetData>
    <row r="1" spans="1:26" ht="25.5" customHeight="1" x14ac:dyDescent="0.6">
      <c r="A1" s="4"/>
      <c r="B1" s="170" t="s">
        <v>0</v>
      </c>
      <c r="C1" s="171"/>
      <c r="D1" s="171"/>
      <c r="E1" s="171"/>
      <c r="F1" s="171"/>
      <c r="G1" s="171"/>
      <c r="H1" s="17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5">
      <c r="A2" s="14"/>
      <c r="B2" s="14"/>
      <c r="C2" s="4"/>
      <c r="D2" s="4"/>
      <c r="E2" s="4"/>
      <c r="F2" s="4"/>
      <c r="G2" s="4"/>
      <c r="H2" s="1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 x14ac:dyDescent="0.35">
      <c r="A3" s="4"/>
      <c r="B3" s="22" t="s">
        <v>5</v>
      </c>
      <c r="C3" s="167" t="s">
        <v>6</v>
      </c>
      <c r="D3" s="162"/>
      <c r="E3" s="173" t="s">
        <v>8</v>
      </c>
      <c r="F3" s="162"/>
      <c r="G3" s="29"/>
      <c r="H3" s="31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" customHeight="1" x14ac:dyDescent="0.35">
      <c r="A4" s="4"/>
      <c r="B4" s="22" t="s">
        <v>7</v>
      </c>
      <c r="C4" s="167"/>
      <c r="D4" s="162"/>
      <c r="E4" s="173" t="s">
        <v>20</v>
      </c>
      <c r="F4" s="162"/>
      <c r="G4" s="29"/>
      <c r="H4" s="3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" customHeight="1" x14ac:dyDescent="0.35">
      <c r="A5" s="4"/>
      <c r="B5" s="41" t="s">
        <v>17</v>
      </c>
      <c r="C5" s="167"/>
      <c r="D5" s="162"/>
      <c r="E5" s="173" t="s">
        <v>12</v>
      </c>
      <c r="F5" s="162"/>
      <c r="G5" s="29"/>
      <c r="H5" s="52">
        <v>46091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1.75" customHeight="1" x14ac:dyDescent="0.35">
      <c r="A6" s="14"/>
      <c r="B6" s="41" t="s">
        <v>34</v>
      </c>
      <c r="C6" s="174"/>
      <c r="D6" s="161"/>
      <c r="E6" s="161"/>
      <c r="F6" s="161"/>
      <c r="G6" s="161"/>
      <c r="H6" s="16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5">
      <c r="A7" s="14"/>
      <c r="B7" s="61"/>
      <c r="C7" s="64"/>
      <c r="D7" s="4"/>
      <c r="E7" s="4"/>
      <c r="F7" s="4"/>
      <c r="G7" s="4"/>
      <c r="H7" s="1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5">
      <c r="A8" s="4"/>
      <c r="B8" s="61"/>
      <c r="C8" s="64"/>
      <c r="D8" s="4"/>
      <c r="E8" s="4"/>
      <c r="F8" s="4"/>
      <c r="G8" s="4"/>
      <c r="H8" s="1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5">
      <c r="A10" s="77"/>
      <c r="B10" s="79" t="s">
        <v>24</v>
      </c>
      <c r="C10" s="81" t="s">
        <v>55</v>
      </c>
      <c r="D10" s="82" t="s">
        <v>10</v>
      </c>
      <c r="E10" s="81" t="s">
        <v>18</v>
      </c>
      <c r="F10" s="81" t="s">
        <v>23</v>
      </c>
      <c r="G10" s="84" t="s">
        <v>27</v>
      </c>
      <c r="H10" s="86" t="s">
        <v>62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5">
      <c r="A11" s="77"/>
      <c r="B11" s="90">
        <v>1</v>
      </c>
      <c r="C11" s="98" t="str">
        <f>'Lesson Management'!B2</f>
        <v>Lesson Management</v>
      </c>
      <c r="D11" s="102">
        <f>'Lesson Management'!B6</f>
        <v>15</v>
      </c>
      <c r="E11" s="102">
        <f>'Lesson Management'!C6</f>
        <v>3</v>
      </c>
      <c r="F11" s="102">
        <f>'Lesson Management'!D6</f>
        <v>0</v>
      </c>
      <c r="G11" s="102">
        <f>'Lesson Management'!E6</f>
        <v>0</v>
      </c>
      <c r="H11" s="104">
        <f>'Lesson Management'!B4</f>
        <v>20</v>
      </c>
      <c r="I11" s="10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5">
      <c r="A12" s="77"/>
      <c r="B12" s="90">
        <v>2</v>
      </c>
      <c r="C12" s="98" t="str">
        <f>'Quiz&amp;Question Management'!B2</f>
        <v>Quiz &amp; Question Management</v>
      </c>
      <c r="D12" s="102">
        <f>'Quiz&amp;Question Management'!B6</f>
        <v>17</v>
      </c>
      <c r="E12" s="102">
        <f>'Quiz&amp;Question Management'!C6</f>
        <v>3</v>
      </c>
      <c r="F12" s="102">
        <f>'Quiz&amp;Question Management'!D6</f>
        <v>0</v>
      </c>
      <c r="G12" s="102">
        <f>'Quiz&amp;Question Management'!E6</f>
        <v>0</v>
      </c>
      <c r="H12" s="104">
        <f>'Quiz&amp;Question Management'!B4</f>
        <v>23</v>
      </c>
      <c r="I12" s="10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5">
      <c r="A13" s="77"/>
      <c r="B13" s="90">
        <v>3</v>
      </c>
      <c r="C13" s="98" t="s">
        <v>3</v>
      </c>
      <c r="D13" s="102">
        <v>13</v>
      </c>
      <c r="E13" s="102">
        <v>0</v>
      </c>
      <c r="F13" s="102">
        <v>0</v>
      </c>
      <c r="G13" s="112">
        <v>0</v>
      </c>
      <c r="H13" s="104">
        <v>13</v>
      </c>
      <c r="I13" s="10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5">
      <c r="A14" s="77"/>
      <c r="B14" s="90">
        <v>4</v>
      </c>
      <c r="C14" s="98" t="s">
        <v>59</v>
      </c>
      <c r="D14" s="102">
        <v>2</v>
      </c>
      <c r="E14" s="102">
        <v>0</v>
      </c>
      <c r="F14" s="102">
        <v>0</v>
      </c>
      <c r="G14" s="112">
        <v>0</v>
      </c>
      <c r="H14" s="104">
        <v>2</v>
      </c>
      <c r="I14" s="10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5">
      <c r="A15" s="77"/>
      <c r="B15" s="90">
        <v>5</v>
      </c>
      <c r="C15" s="113" t="s">
        <v>50</v>
      </c>
      <c r="D15" s="102">
        <v>14</v>
      </c>
      <c r="E15" s="102">
        <v>0</v>
      </c>
      <c r="F15" s="102">
        <v>0</v>
      </c>
      <c r="G15" s="112">
        <v>0</v>
      </c>
      <c r="H15" s="104">
        <v>14</v>
      </c>
      <c r="I15" s="10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5">
      <c r="A16" s="77"/>
      <c r="B16" s="90">
        <v>6</v>
      </c>
      <c r="C16" s="98" t="s">
        <v>53</v>
      </c>
      <c r="D16" s="102">
        <v>19</v>
      </c>
      <c r="E16" s="102">
        <v>0</v>
      </c>
      <c r="F16" s="102">
        <v>0</v>
      </c>
      <c r="G16" s="112">
        <v>0</v>
      </c>
      <c r="H16" s="104">
        <v>22</v>
      </c>
      <c r="I16" s="10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5">
      <c r="A17" s="77"/>
      <c r="B17" s="90">
        <v>7</v>
      </c>
      <c r="C17" s="98" t="s">
        <v>53</v>
      </c>
      <c r="D17" s="102">
        <v>20</v>
      </c>
      <c r="E17" s="102">
        <v>0</v>
      </c>
      <c r="F17" s="102">
        <v>0</v>
      </c>
      <c r="G17" s="112">
        <v>0</v>
      </c>
      <c r="H17" s="104">
        <v>20</v>
      </c>
      <c r="I17" s="10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5">
      <c r="A18" s="77"/>
      <c r="B18" s="114"/>
      <c r="C18" s="115" t="s">
        <v>137</v>
      </c>
      <c r="D18" s="116">
        <f t="shared" ref="D18:H18" si="0">SUM(D9:D17)</f>
        <v>100</v>
      </c>
      <c r="E18" s="116">
        <f t="shared" si="0"/>
        <v>6</v>
      </c>
      <c r="F18" s="116">
        <f t="shared" si="0"/>
        <v>0</v>
      </c>
      <c r="G18" s="116">
        <f t="shared" si="0"/>
        <v>0</v>
      </c>
      <c r="H18" s="117">
        <f t="shared" si="0"/>
        <v>114</v>
      </c>
      <c r="I18" s="10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5">
      <c r="A19" s="4"/>
      <c r="B19" s="118"/>
      <c r="C19" s="4"/>
      <c r="D19" s="119"/>
      <c r="E19" s="120"/>
      <c r="F19" s="120"/>
      <c r="G19" s="120"/>
      <c r="H19" s="12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5">
      <c r="A20" s="4"/>
      <c r="B20" s="4"/>
      <c r="C20" s="16" t="s">
        <v>148</v>
      </c>
      <c r="D20" s="4"/>
      <c r="E20" s="121">
        <f>(D18+E18)*100/(H18-G18)</f>
        <v>92.982456140350877</v>
      </c>
      <c r="F20" s="4" t="s">
        <v>149</v>
      </c>
      <c r="G20" s="4"/>
      <c r="H20" s="12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5">
      <c r="A21" s="4"/>
      <c r="B21" s="4"/>
      <c r="C21" s="16" t="s">
        <v>150</v>
      </c>
      <c r="D21" s="4"/>
      <c r="E21" s="121">
        <f>D18*100/(H18-G18)</f>
        <v>87.719298245614041</v>
      </c>
      <c r="F21" s="4" t="s">
        <v>149</v>
      </c>
      <c r="G21" s="4"/>
      <c r="H21" s="12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 x14ac:dyDescent="0.3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 x14ac:dyDescent="0.3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 x14ac:dyDescent="0.3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4791666666666667" right="0.74791666666666667" top="0.98402777777777783" bottom="0.98402777777777772" header="0" footer="0"/>
  <pageSetup orientation="landscape"/>
  <headerFoot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0" topLeftCell="A20" activePane="bottomLeft" state="frozen"/>
      <selection pane="bottomLeft" activeCell="I26" sqref="I26"/>
    </sheetView>
  </sheetViews>
  <sheetFormatPr defaultColWidth="12.59765625" defaultRowHeight="15" customHeight="1" x14ac:dyDescent="0.25"/>
  <cols>
    <col min="1" max="1" width="17" customWidth="1"/>
    <col min="2" max="2" width="34.46484375" customWidth="1"/>
    <col min="3" max="3" width="34.1328125" customWidth="1"/>
    <col min="4" max="4" width="34.59765625" customWidth="1"/>
    <col min="5" max="5" width="28.3984375" customWidth="1"/>
    <col min="6" max="6" width="9.3984375" customWidth="1"/>
    <col min="7" max="7" width="10.59765625" hidden="1" customWidth="1"/>
    <col min="8" max="8" width="7" hidden="1" customWidth="1"/>
    <col min="9" max="9" width="9.3984375" customWidth="1"/>
    <col min="10" max="10" width="10.59765625" hidden="1" customWidth="1"/>
    <col min="11" max="11" width="7" hidden="1" customWidth="1"/>
    <col min="12" max="12" width="9.3984375" customWidth="1"/>
    <col min="13" max="13" width="10.59765625" hidden="1" customWidth="1"/>
    <col min="14" max="14" width="7" hidden="1" customWidth="1"/>
    <col min="15" max="15" width="16.59765625" customWidth="1"/>
    <col min="16" max="16" width="28.59765625" customWidth="1"/>
    <col min="17" max="17" width="10.1328125" customWidth="1"/>
    <col min="18" max="18" width="8.1328125" customWidth="1"/>
    <col min="19" max="19" width="7.59765625" hidden="1" customWidth="1"/>
    <col min="20" max="26" width="9" customWidth="1"/>
  </cols>
  <sheetData>
    <row r="1" spans="1:26" ht="12.7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6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5">
      <c r="A2" s="9" t="s">
        <v>1</v>
      </c>
      <c r="B2" s="175" t="s">
        <v>3</v>
      </c>
      <c r="C2" s="176"/>
      <c r="D2" s="176"/>
      <c r="E2" s="177"/>
      <c r="F2" s="11"/>
      <c r="G2" s="20"/>
      <c r="H2" s="21"/>
      <c r="I2" s="11"/>
      <c r="J2" s="20"/>
      <c r="K2" s="21"/>
      <c r="L2" s="11"/>
      <c r="M2" s="20"/>
      <c r="N2" s="21"/>
      <c r="O2" s="21"/>
      <c r="P2" s="21"/>
      <c r="Q2" s="21"/>
      <c r="R2" s="24"/>
      <c r="S2" s="25" t="s">
        <v>10</v>
      </c>
      <c r="T2" s="25"/>
      <c r="U2" s="25"/>
      <c r="V2" s="25"/>
      <c r="W2" s="25"/>
      <c r="X2" s="25"/>
      <c r="Y2" s="25"/>
      <c r="Z2" s="25"/>
    </row>
    <row r="3" spans="1:26" ht="42" customHeight="1" x14ac:dyDescent="0.35">
      <c r="A3" s="27" t="s">
        <v>11</v>
      </c>
      <c r="B3" s="178" t="s">
        <v>15</v>
      </c>
      <c r="C3" s="161"/>
      <c r="D3" s="161"/>
      <c r="E3" s="179"/>
      <c r="F3" s="11"/>
      <c r="G3" s="20"/>
      <c r="H3" s="21"/>
      <c r="I3" s="11"/>
      <c r="J3" s="20"/>
      <c r="K3" s="21"/>
      <c r="L3" s="11"/>
      <c r="M3" s="20"/>
      <c r="N3" s="21"/>
      <c r="O3" s="21"/>
      <c r="P3" s="21"/>
      <c r="Q3" s="21"/>
      <c r="R3" s="24"/>
      <c r="S3" s="25" t="s">
        <v>18</v>
      </c>
      <c r="T3" s="25"/>
      <c r="U3" s="25"/>
      <c r="V3" s="25"/>
      <c r="W3" s="25"/>
      <c r="X3" s="25"/>
      <c r="Y3" s="25"/>
      <c r="Z3" s="25"/>
    </row>
    <row r="4" spans="1:26" ht="18" customHeight="1" x14ac:dyDescent="0.35">
      <c r="A4" s="27" t="s">
        <v>19</v>
      </c>
      <c r="B4" s="178">
        <f>COUNTA($B$12:$B$1000)</f>
        <v>13</v>
      </c>
      <c r="C4" s="161"/>
      <c r="D4" s="161"/>
      <c r="E4" s="179"/>
      <c r="F4" s="11"/>
      <c r="G4" s="20"/>
      <c r="H4" s="21"/>
      <c r="I4" s="11"/>
      <c r="J4" s="20"/>
      <c r="K4" s="21"/>
      <c r="L4" s="11"/>
      <c r="M4" s="20"/>
      <c r="N4" s="21"/>
      <c r="O4" s="21"/>
      <c r="P4" s="21"/>
      <c r="Q4" s="21"/>
      <c r="R4" s="24"/>
      <c r="S4" s="25" t="s">
        <v>23</v>
      </c>
      <c r="T4" s="25"/>
      <c r="U4" s="25"/>
      <c r="V4" s="25"/>
      <c r="W4" s="25"/>
      <c r="X4" s="25"/>
      <c r="Y4" s="25"/>
      <c r="Z4" s="25"/>
    </row>
    <row r="5" spans="1:26" ht="19.5" customHeight="1" x14ac:dyDescent="0.35">
      <c r="A5" s="39" t="s">
        <v>25</v>
      </c>
      <c r="B5" s="42" t="s">
        <v>10</v>
      </c>
      <c r="C5" s="42" t="s">
        <v>18</v>
      </c>
      <c r="D5" s="42" t="s">
        <v>23</v>
      </c>
      <c r="E5" s="45" t="s">
        <v>27</v>
      </c>
      <c r="F5" s="46"/>
      <c r="G5" s="46"/>
      <c r="H5" s="48"/>
      <c r="I5" s="46"/>
      <c r="J5" s="46"/>
      <c r="K5" s="48"/>
      <c r="L5" s="46"/>
      <c r="M5" s="46"/>
      <c r="N5" s="48"/>
      <c r="O5" s="48"/>
      <c r="P5" s="48"/>
      <c r="Q5" s="48"/>
      <c r="R5" s="51"/>
      <c r="S5" s="25" t="s">
        <v>27</v>
      </c>
      <c r="T5" s="25"/>
      <c r="U5" s="25"/>
      <c r="V5" s="25"/>
      <c r="W5" s="25"/>
      <c r="X5" s="25"/>
      <c r="Y5" s="25"/>
      <c r="Z5" s="25"/>
    </row>
    <row r="6" spans="1:26" ht="15" customHeight="1" x14ac:dyDescent="0.35">
      <c r="A6" s="39" t="s">
        <v>32</v>
      </c>
      <c r="B6" s="56">
        <f t="shared" ref="B6:E6" si="0">COUNTIF($F$12:$F$1000,B$5)</f>
        <v>11</v>
      </c>
      <c r="C6" s="56">
        <f t="shared" si="0"/>
        <v>2</v>
      </c>
      <c r="D6" s="56">
        <f t="shared" si="0"/>
        <v>0</v>
      </c>
      <c r="E6" s="60">
        <f t="shared" si="0"/>
        <v>0</v>
      </c>
      <c r="F6" s="62"/>
      <c r="G6" s="62"/>
      <c r="H6" s="48"/>
      <c r="I6" s="62"/>
      <c r="J6" s="62"/>
      <c r="K6" s="48"/>
      <c r="L6" s="62"/>
      <c r="M6" s="62"/>
      <c r="N6" s="48"/>
      <c r="O6" s="48"/>
      <c r="P6" s="48"/>
      <c r="Q6" s="48"/>
      <c r="R6" s="51"/>
      <c r="S6" s="25"/>
      <c r="T6" s="25"/>
      <c r="U6" s="25"/>
      <c r="V6" s="25"/>
      <c r="W6" s="25"/>
      <c r="X6" s="25"/>
      <c r="Y6" s="25"/>
      <c r="Z6" s="25"/>
    </row>
    <row r="7" spans="1:26" ht="15" customHeight="1" x14ac:dyDescent="0.35">
      <c r="A7" s="39" t="s">
        <v>40</v>
      </c>
      <c r="B7" s="56">
        <f t="shared" ref="B7:E7" si="1">COUNTIF($I$12:$I$1000,B$5)</f>
        <v>9</v>
      </c>
      <c r="C7" s="56">
        <f t="shared" si="1"/>
        <v>4</v>
      </c>
      <c r="D7" s="56">
        <f t="shared" si="1"/>
        <v>0</v>
      </c>
      <c r="E7" s="60">
        <f t="shared" si="1"/>
        <v>0</v>
      </c>
      <c r="F7" s="62"/>
      <c r="G7" s="62"/>
      <c r="H7" s="48"/>
      <c r="I7" s="62"/>
      <c r="J7" s="62"/>
      <c r="K7" s="48"/>
      <c r="L7" s="62"/>
      <c r="M7" s="62"/>
      <c r="N7" s="48"/>
      <c r="O7" s="48"/>
      <c r="P7" s="48"/>
      <c r="Q7" s="48"/>
      <c r="R7" s="51"/>
      <c r="S7" s="25"/>
      <c r="T7" s="25"/>
      <c r="U7" s="25"/>
      <c r="V7" s="25"/>
      <c r="W7" s="25"/>
      <c r="X7" s="25"/>
      <c r="Y7" s="25"/>
      <c r="Z7" s="25"/>
    </row>
    <row r="8" spans="1:26" ht="15" customHeight="1" x14ac:dyDescent="0.35">
      <c r="A8" s="73" t="s">
        <v>46</v>
      </c>
      <c r="B8" s="74">
        <f t="shared" ref="B8:E8" si="2">COUNTIF($L$12:$L$1000,B$5)</f>
        <v>13</v>
      </c>
      <c r="C8" s="74">
        <f t="shared" si="2"/>
        <v>0</v>
      </c>
      <c r="D8" s="74">
        <f t="shared" si="2"/>
        <v>0</v>
      </c>
      <c r="E8" s="78">
        <f t="shared" si="2"/>
        <v>0</v>
      </c>
      <c r="F8" s="62"/>
      <c r="G8" s="62"/>
      <c r="H8" s="48"/>
      <c r="I8" s="62"/>
      <c r="J8" s="62"/>
      <c r="K8" s="48"/>
      <c r="L8" s="62"/>
      <c r="M8" s="62"/>
      <c r="N8" s="48"/>
      <c r="O8" s="48"/>
      <c r="P8" s="48"/>
      <c r="Q8" s="48"/>
      <c r="R8" s="51"/>
      <c r="S8" s="25"/>
      <c r="T8" s="25"/>
      <c r="U8" s="25"/>
      <c r="V8" s="25"/>
      <c r="W8" s="25"/>
      <c r="X8" s="25"/>
      <c r="Y8" s="25"/>
      <c r="Z8" s="25"/>
    </row>
    <row r="9" spans="1:26" ht="15" customHeight="1" x14ac:dyDescent="0.35">
      <c r="A9" s="48"/>
      <c r="B9" s="48"/>
      <c r="C9" s="48"/>
      <c r="D9" s="48"/>
      <c r="E9" s="48"/>
      <c r="F9" s="80"/>
      <c r="G9" s="48"/>
      <c r="H9" s="48"/>
      <c r="I9" s="80"/>
      <c r="J9" s="48"/>
      <c r="K9" s="48"/>
      <c r="L9" s="80"/>
      <c r="M9" s="48"/>
      <c r="N9" s="48"/>
      <c r="O9" s="48"/>
      <c r="P9" s="48"/>
      <c r="Q9" s="48"/>
      <c r="R9" s="51"/>
      <c r="S9" s="25"/>
      <c r="T9" s="25"/>
      <c r="U9" s="25"/>
      <c r="V9" s="25"/>
      <c r="W9" s="25"/>
      <c r="X9" s="25"/>
      <c r="Y9" s="25"/>
      <c r="Z9" s="25"/>
    </row>
    <row r="10" spans="1:26" ht="25.5" customHeight="1" x14ac:dyDescent="0.35">
      <c r="A10" s="85" t="s">
        <v>58</v>
      </c>
      <c r="B10" s="85" t="s">
        <v>60</v>
      </c>
      <c r="C10" s="85" t="s">
        <v>61</v>
      </c>
      <c r="D10" s="85" t="s">
        <v>63</v>
      </c>
      <c r="E10" s="85" t="s">
        <v>64</v>
      </c>
      <c r="F10" s="85" t="s">
        <v>32</v>
      </c>
      <c r="G10" s="85" t="s">
        <v>65</v>
      </c>
      <c r="H10" s="85" t="s">
        <v>66</v>
      </c>
      <c r="I10" s="85" t="s">
        <v>40</v>
      </c>
      <c r="J10" s="85" t="s">
        <v>65</v>
      </c>
      <c r="K10" s="85" t="s">
        <v>66</v>
      </c>
      <c r="L10" s="85" t="s">
        <v>46</v>
      </c>
      <c r="M10" s="85" t="s">
        <v>65</v>
      </c>
      <c r="N10" s="85" t="s">
        <v>66</v>
      </c>
      <c r="O10" s="85" t="s">
        <v>67</v>
      </c>
      <c r="P10" s="85" t="s">
        <v>68</v>
      </c>
      <c r="Q10" s="25"/>
      <c r="R10" s="88"/>
      <c r="S10" s="25"/>
      <c r="T10" s="25"/>
      <c r="U10" s="25"/>
      <c r="V10" s="25"/>
      <c r="W10" s="25"/>
      <c r="X10" s="25"/>
      <c r="Y10" s="25"/>
      <c r="Z10" s="25"/>
    </row>
    <row r="11" spans="1:26" ht="22.5" customHeight="1" x14ac:dyDescent="0.4">
      <c r="A11" s="91" t="s">
        <v>35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25"/>
      <c r="R11" s="94"/>
      <c r="S11" s="25"/>
      <c r="T11" s="25"/>
      <c r="U11" s="25"/>
      <c r="V11" s="25"/>
      <c r="W11" s="25"/>
      <c r="X11" s="25"/>
      <c r="Y11" s="25"/>
      <c r="Z11" s="25"/>
    </row>
    <row r="12" spans="1:26" ht="96.75" customHeight="1" x14ac:dyDescent="0.25">
      <c r="A12" s="97" t="s">
        <v>71</v>
      </c>
      <c r="B12" s="97" t="s">
        <v>72</v>
      </c>
      <c r="C12" s="97" t="s">
        <v>73</v>
      </c>
      <c r="D12" s="97" t="s">
        <v>74</v>
      </c>
      <c r="E12" s="97" t="s">
        <v>75</v>
      </c>
      <c r="F12" s="97" t="s">
        <v>10</v>
      </c>
      <c r="G12" s="97" t="s">
        <v>10</v>
      </c>
      <c r="H12" s="97" t="s">
        <v>10</v>
      </c>
      <c r="I12" s="97" t="s">
        <v>18</v>
      </c>
      <c r="J12" s="97" t="s">
        <v>10</v>
      </c>
      <c r="K12" s="97" t="s">
        <v>10</v>
      </c>
      <c r="L12" s="97" t="s">
        <v>10</v>
      </c>
      <c r="M12" s="97"/>
      <c r="N12" s="97"/>
      <c r="O12" s="97"/>
      <c r="P12" s="97"/>
      <c r="Q12" s="101"/>
      <c r="R12" s="103"/>
      <c r="S12" s="101"/>
      <c r="T12" s="101"/>
      <c r="U12" s="101"/>
      <c r="V12" s="101"/>
      <c r="W12" s="101"/>
      <c r="X12" s="101"/>
      <c r="Y12" s="101"/>
      <c r="Z12" s="101"/>
    </row>
    <row r="13" spans="1:26" ht="96.75" customHeight="1" x14ac:dyDescent="0.35">
      <c r="A13" s="97" t="s">
        <v>79</v>
      </c>
      <c r="B13" s="97" t="s">
        <v>80</v>
      </c>
      <c r="C13" s="97" t="s">
        <v>81</v>
      </c>
      <c r="D13" s="97" t="s">
        <v>83</v>
      </c>
      <c r="E13" s="97" t="s">
        <v>84</v>
      </c>
      <c r="F13" s="97" t="s">
        <v>10</v>
      </c>
      <c r="G13" s="97" t="s">
        <v>10</v>
      </c>
      <c r="H13" s="97" t="s">
        <v>10</v>
      </c>
      <c r="I13" s="97" t="s">
        <v>10</v>
      </c>
      <c r="J13" s="97" t="s">
        <v>10</v>
      </c>
      <c r="K13" s="97" t="s">
        <v>10</v>
      </c>
      <c r="L13" s="97" t="s">
        <v>10</v>
      </c>
      <c r="M13" s="97"/>
      <c r="N13" s="97"/>
      <c r="O13" s="97"/>
      <c r="P13" s="97"/>
      <c r="Q13" s="3"/>
      <c r="R13" s="103"/>
      <c r="S13" s="3"/>
      <c r="T13" s="3"/>
      <c r="U13" s="3"/>
      <c r="V13" s="3"/>
      <c r="W13" s="3"/>
      <c r="X13" s="3"/>
      <c r="Y13" s="3"/>
      <c r="Z13" s="3"/>
    </row>
    <row r="14" spans="1:26" ht="79.5" customHeight="1" x14ac:dyDescent="0.35">
      <c r="A14" s="97" t="s">
        <v>85</v>
      </c>
      <c r="B14" s="97" t="s">
        <v>86</v>
      </c>
      <c r="C14" s="97" t="s">
        <v>88</v>
      </c>
      <c r="D14" s="97" t="s">
        <v>89</v>
      </c>
      <c r="E14" s="97" t="s">
        <v>90</v>
      </c>
      <c r="F14" s="97" t="s">
        <v>10</v>
      </c>
      <c r="G14" s="97" t="s">
        <v>10</v>
      </c>
      <c r="H14" s="97" t="s">
        <v>10</v>
      </c>
      <c r="I14" s="97" t="s">
        <v>10</v>
      </c>
      <c r="J14" s="97" t="s">
        <v>10</v>
      </c>
      <c r="K14" s="97" t="s">
        <v>10</v>
      </c>
      <c r="L14" s="97" t="s">
        <v>10</v>
      </c>
      <c r="M14" s="97"/>
      <c r="N14" s="97"/>
      <c r="O14" s="97"/>
      <c r="P14" s="97"/>
      <c r="Q14" s="3"/>
      <c r="R14" s="103"/>
      <c r="S14" s="3"/>
      <c r="T14" s="3"/>
      <c r="U14" s="3"/>
      <c r="V14" s="3"/>
      <c r="W14" s="3"/>
      <c r="X14" s="3"/>
      <c r="Y14" s="3"/>
      <c r="Z14" s="3"/>
    </row>
    <row r="15" spans="1:26" ht="22.5" customHeight="1" x14ac:dyDescent="0.4">
      <c r="A15" s="91" t="s">
        <v>45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25"/>
      <c r="R15" s="94"/>
      <c r="S15" s="25"/>
      <c r="T15" s="25"/>
      <c r="U15" s="25"/>
      <c r="V15" s="25"/>
      <c r="W15" s="25"/>
      <c r="X15" s="25"/>
      <c r="Y15" s="25"/>
      <c r="Z15" s="25"/>
    </row>
    <row r="16" spans="1:26" ht="79.5" customHeight="1" x14ac:dyDescent="0.35">
      <c r="A16" s="97" t="s">
        <v>92</v>
      </c>
      <c r="B16" s="97" t="s">
        <v>93</v>
      </c>
      <c r="C16" s="97" t="s">
        <v>94</v>
      </c>
      <c r="D16" s="97" t="s">
        <v>95</v>
      </c>
      <c r="E16" s="97" t="s">
        <v>96</v>
      </c>
      <c r="F16" s="97" t="s">
        <v>18</v>
      </c>
      <c r="G16" s="97" t="s">
        <v>10</v>
      </c>
      <c r="H16" s="97" t="s">
        <v>10</v>
      </c>
      <c r="I16" s="97" t="s">
        <v>18</v>
      </c>
      <c r="J16" s="97" t="s">
        <v>10</v>
      </c>
      <c r="K16" s="97" t="s">
        <v>10</v>
      </c>
      <c r="L16" s="97" t="s">
        <v>10</v>
      </c>
      <c r="M16" s="97"/>
      <c r="N16" s="97"/>
      <c r="O16" s="97"/>
      <c r="P16" s="97"/>
      <c r="Q16" s="3"/>
      <c r="R16" s="103"/>
      <c r="S16" s="3"/>
      <c r="T16" s="3"/>
      <c r="U16" s="3"/>
      <c r="V16" s="3"/>
      <c r="W16" s="3"/>
      <c r="X16" s="3"/>
      <c r="Y16" s="3"/>
      <c r="Z16" s="3"/>
    </row>
    <row r="17" spans="1:26" ht="96.75" customHeight="1" x14ac:dyDescent="0.35">
      <c r="A17" s="97" t="s">
        <v>98</v>
      </c>
      <c r="B17" s="97" t="s">
        <v>99</v>
      </c>
      <c r="C17" s="97" t="s">
        <v>100</v>
      </c>
      <c r="D17" s="97" t="s">
        <v>102</v>
      </c>
      <c r="E17" s="97" t="s">
        <v>103</v>
      </c>
      <c r="F17" s="97" t="s">
        <v>10</v>
      </c>
      <c r="G17" s="97" t="s">
        <v>10</v>
      </c>
      <c r="H17" s="97" t="s">
        <v>10</v>
      </c>
      <c r="I17" s="97" t="s">
        <v>10</v>
      </c>
      <c r="J17" s="97"/>
      <c r="K17" s="97"/>
      <c r="L17" s="97" t="s">
        <v>10</v>
      </c>
      <c r="M17" s="97"/>
      <c r="N17" s="97"/>
      <c r="O17" s="97"/>
      <c r="P17" s="97"/>
      <c r="Q17" s="3"/>
      <c r="R17" s="6"/>
      <c r="S17" s="3"/>
      <c r="T17" s="3"/>
      <c r="U17" s="3"/>
      <c r="V17" s="3"/>
      <c r="W17" s="3"/>
      <c r="X17" s="3"/>
      <c r="Y17" s="3"/>
      <c r="Z17" s="3"/>
    </row>
    <row r="18" spans="1:26" ht="96.75" customHeight="1" x14ac:dyDescent="0.35">
      <c r="A18" s="97" t="s">
        <v>104</v>
      </c>
      <c r="B18" s="97" t="s">
        <v>105</v>
      </c>
      <c r="C18" s="97" t="s">
        <v>106</v>
      </c>
      <c r="D18" s="97" t="s">
        <v>108</v>
      </c>
      <c r="E18" s="97" t="s">
        <v>109</v>
      </c>
      <c r="F18" s="97" t="s">
        <v>10</v>
      </c>
      <c r="G18" s="97" t="s">
        <v>10</v>
      </c>
      <c r="H18" s="97" t="s">
        <v>10</v>
      </c>
      <c r="I18" s="97" t="s">
        <v>10</v>
      </c>
      <c r="J18" s="97"/>
      <c r="K18" s="97"/>
      <c r="L18" s="97" t="s">
        <v>10</v>
      </c>
      <c r="M18" s="97"/>
      <c r="N18" s="97"/>
      <c r="O18" s="97"/>
      <c r="P18" s="97"/>
      <c r="Q18" s="25"/>
      <c r="R18" s="94"/>
      <c r="S18" s="25"/>
      <c r="T18" s="25"/>
      <c r="U18" s="25"/>
      <c r="V18" s="25"/>
      <c r="W18" s="25"/>
      <c r="X18" s="25"/>
      <c r="Y18" s="25"/>
      <c r="Z18" s="25"/>
    </row>
    <row r="19" spans="1:26" ht="22.5" customHeight="1" x14ac:dyDescent="0.4">
      <c r="A19" s="91" t="s">
        <v>47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3"/>
      <c r="R19" s="103"/>
      <c r="S19" s="3"/>
      <c r="T19" s="3"/>
      <c r="U19" s="3"/>
      <c r="V19" s="3"/>
      <c r="W19" s="3"/>
      <c r="X19" s="3"/>
      <c r="Y19" s="3"/>
      <c r="Z19" s="3"/>
    </row>
    <row r="20" spans="1:26" ht="96.75" customHeight="1" x14ac:dyDescent="0.35">
      <c r="A20" s="97" t="s">
        <v>111</v>
      </c>
      <c r="B20" s="97" t="s">
        <v>112</v>
      </c>
      <c r="C20" s="97" t="s">
        <v>113</v>
      </c>
      <c r="D20" s="97" t="s">
        <v>114</v>
      </c>
      <c r="E20" s="97" t="s">
        <v>115</v>
      </c>
      <c r="F20" s="97" t="s">
        <v>10</v>
      </c>
      <c r="G20" s="97" t="s">
        <v>10</v>
      </c>
      <c r="H20" s="97" t="s">
        <v>10</v>
      </c>
      <c r="I20" s="97" t="s">
        <v>18</v>
      </c>
      <c r="J20" s="97"/>
      <c r="K20" s="97"/>
      <c r="L20" s="97" t="s">
        <v>10</v>
      </c>
      <c r="M20" s="97"/>
      <c r="N20" s="97"/>
      <c r="O20" s="97"/>
      <c r="P20" s="97"/>
      <c r="Q20" s="3"/>
      <c r="R20" s="6"/>
      <c r="S20" s="3"/>
      <c r="T20" s="3"/>
      <c r="U20" s="3"/>
      <c r="V20" s="3"/>
      <c r="W20" s="3"/>
      <c r="X20" s="3"/>
      <c r="Y20" s="3"/>
      <c r="Z20" s="3"/>
    </row>
    <row r="21" spans="1:26" ht="79.5" customHeight="1" x14ac:dyDescent="0.35">
      <c r="A21" s="97" t="s">
        <v>117</v>
      </c>
      <c r="B21" s="97" t="s">
        <v>118</v>
      </c>
      <c r="C21" s="97" t="s">
        <v>119</v>
      </c>
      <c r="D21" s="97" t="s">
        <v>120</v>
      </c>
      <c r="E21" s="97" t="s">
        <v>121</v>
      </c>
      <c r="F21" s="97" t="s">
        <v>10</v>
      </c>
      <c r="G21" s="97" t="s">
        <v>10</v>
      </c>
      <c r="H21" s="97" t="s">
        <v>10</v>
      </c>
      <c r="I21" s="97" t="s">
        <v>10</v>
      </c>
      <c r="J21" s="97"/>
      <c r="K21" s="97"/>
      <c r="L21" s="97" t="s">
        <v>10</v>
      </c>
      <c r="M21" s="97"/>
      <c r="N21" s="97"/>
      <c r="O21" s="97"/>
      <c r="P21" s="97"/>
      <c r="Q21" s="3"/>
      <c r="R21" s="6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4">
      <c r="A22" s="91" t="s">
        <v>52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3"/>
      <c r="R22" s="6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5">
      <c r="A23" s="97" t="s">
        <v>122</v>
      </c>
      <c r="B23" s="97" t="s">
        <v>123</v>
      </c>
      <c r="C23" s="97" t="s">
        <v>124</v>
      </c>
      <c r="D23" s="97" t="s">
        <v>125</v>
      </c>
      <c r="E23" s="97" t="s">
        <v>126</v>
      </c>
      <c r="F23" s="97" t="s">
        <v>10</v>
      </c>
      <c r="G23" s="97" t="s">
        <v>10</v>
      </c>
      <c r="H23" s="97" t="s">
        <v>10</v>
      </c>
      <c r="I23" s="97" t="s">
        <v>10</v>
      </c>
      <c r="J23" s="97"/>
      <c r="K23" s="97"/>
      <c r="L23" s="97" t="s">
        <v>10</v>
      </c>
      <c r="M23" s="97"/>
      <c r="N23" s="97"/>
      <c r="O23" s="97"/>
      <c r="P23" s="97"/>
      <c r="Q23" s="3"/>
      <c r="R23" s="6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5">
      <c r="A24" s="97" t="s">
        <v>127</v>
      </c>
      <c r="B24" s="97" t="s">
        <v>128</v>
      </c>
      <c r="C24" s="97" t="s">
        <v>129</v>
      </c>
      <c r="D24" s="97" t="s">
        <v>130</v>
      </c>
      <c r="E24" s="97" t="s">
        <v>131</v>
      </c>
      <c r="F24" s="97" t="s">
        <v>10</v>
      </c>
      <c r="G24" s="97" t="s">
        <v>10</v>
      </c>
      <c r="H24" s="97" t="s">
        <v>10</v>
      </c>
      <c r="I24" s="97" t="s">
        <v>18</v>
      </c>
      <c r="J24" s="97"/>
      <c r="K24" s="97"/>
      <c r="L24" s="97" t="s">
        <v>10</v>
      </c>
      <c r="M24" s="97"/>
      <c r="N24" s="97"/>
      <c r="O24" s="97"/>
      <c r="P24" s="97"/>
      <c r="Q24" s="3"/>
      <c r="R24" s="6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5">
      <c r="A25" s="97" t="s">
        <v>132</v>
      </c>
      <c r="B25" s="97" t="s">
        <v>133</v>
      </c>
      <c r="C25" s="97" t="s">
        <v>134</v>
      </c>
      <c r="D25" s="97" t="s">
        <v>135</v>
      </c>
      <c r="E25" s="97" t="s">
        <v>136</v>
      </c>
      <c r="F25" s="97" t="s">
        <v>18</v>
      </c>
      <c r="G25" s="97" t="s">
        <v>10</v>
      </c>
      <c r="H25" s="97" t="s">
        <v>10</v>
      </c>
      <c r="I25" s="97" t="s">
        <v>10</v>
      </c>
      <c r="J25" s="97"/>
      <c r="K25" s="97"/>
      <c r="L25" s="97" t="s">
        <v>10</v>
      </c>
      <c r="M25" s="97"/>
      <c r="N25" s="97"/>
      <c r="O25" s="97"/>
      <c r="P25" s="97"/>
      <c r="Q25" s="3"/>
      <c r="R25" s="6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5">
      <c r="A26" s="97" t="s">
        <v>138</v>
      </c>
      <c r="B26" s="97" t="s">
        <v>139</v>
      </c>
      <c r="C26" s="97" t="s">
        <v>140</v>
      </c>
      <c r="D26" s="97" t="s">
        <v>141</v>
      </c>
      <c r="E26" s="97" t="s">
        <v>142</v>
      </c>
      <c r="F26" s="97" t="s">
        <v>10</v>
      </c>
      <c r="G26" s="97" t="s">
        <v>10</v>
      </c>
      <c r="H26" s="97" t="s">
        <v>10</v>
      </c>
      <c r="I26" s="97" t="s">
        <v>10</v>
      </c>
      <c r="J26" s="97"/>
      <c r="K26" s="97"/>
      <c r="L26" s="97" t="s">
        <v>10</v>
      </c>
      <c r="M26" s="97"/>
      <c r="N26" s="97"/>
      <c r="O26" s="97"/>
      <c r="P26" s="97"/>
      <c r="Q26" s="3"/>
      <c r="R26" s="6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5">
      <c r="A27" s="97" t="s">
        <v>143</v>
      </c>
      <c r="B27" s="97" t="s">
        <v>144</v>
      </c>
      <c r="C27" s="97" t="s">
        <v>145</v>
      </c>
      <c r="D27" s="97" t="s">
        <v>146</v>
      </c>
      <c r="E27" s="97" t="s">
        <v>147</v>
      </c>
      <c r="F27" s="97" t="s">
        <v>10</v>
      </c>
      <c r="G27" s="97" t="s">
        <v>10</v>
      </c>
      <c r="H27" s="97" t="s">
        <v>10</v>
      </c>
      <c r="I27" s="97" t="s">
        <v>10</v>
      </c>
      <c r="J27" s="97"/>
      <c r="K27" s="97"/>
      <c r="L27" s="97" t="s">
        <v>10</v>
      </c>
      <c r="M27" s="97"/>
      <c r="N27" s="97"/>
      <c r="O27" s="97"/>
      <c r="P27" s="97"/>
      <c r="Q27" s="3"/>
      <c r="R27" s="6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6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6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6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6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6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6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6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6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6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6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6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6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6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6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6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6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6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6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6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6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6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6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6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6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6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6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6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6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6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6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6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6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6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6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6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6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6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6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6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6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6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6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6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6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6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6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6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6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6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6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6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6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6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6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6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6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6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6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6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6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6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6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6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6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6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6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6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6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6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6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6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6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6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6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6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6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6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6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6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6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6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6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6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6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6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6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6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6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6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6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6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6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6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6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6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6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6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6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6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6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6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6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6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6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6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6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6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6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6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6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6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6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6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6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6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6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6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6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6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6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6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6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6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6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6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6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6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6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6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6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6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6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6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6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6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6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6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6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6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6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6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6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6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6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6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6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6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6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6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6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6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6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6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6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6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6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6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6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6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6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6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6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6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6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6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6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6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6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6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6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6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6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6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6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6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6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6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6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6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6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6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6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6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6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6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6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6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6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6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6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6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6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6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6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6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6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6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6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6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6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6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6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6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6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6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6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6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6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6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6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6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6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6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6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6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6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6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6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6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6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6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6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6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6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6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6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6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6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6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6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6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6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6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6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6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6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6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6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6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6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6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6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6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6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6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6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6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6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6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6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6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6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6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6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6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6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6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6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6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6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6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6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6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6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6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6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6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6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6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6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6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6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6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6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6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6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6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6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6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6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6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6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6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6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6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6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6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6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6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6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6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6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6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6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6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6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6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6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6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6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6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6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6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6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6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6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6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6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6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6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6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6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6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6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6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6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6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6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6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6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6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6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6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6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6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6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6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6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6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6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6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6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6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6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6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6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6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6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6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6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6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6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6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6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6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6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6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6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6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6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6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6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6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6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6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6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6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6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6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6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6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6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6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6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6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6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6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6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6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6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6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6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6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6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6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6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6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6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6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6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6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6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6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6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6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6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6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6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6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6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6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6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6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6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6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6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6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6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6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6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6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6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6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6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6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6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6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6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6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6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6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6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6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6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6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6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6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6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6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6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6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6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6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6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6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6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6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6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6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6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6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6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6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6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6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6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6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6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6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6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6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6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6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6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6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6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6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6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6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6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6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6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6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6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6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6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6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6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6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6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6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6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6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6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6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6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6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6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6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6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6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6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6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6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6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6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6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6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6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6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6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6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6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6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6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6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6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6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6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6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6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6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6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6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6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6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6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6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6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6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6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6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6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6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6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6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6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6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6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6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6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6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6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6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6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6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6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6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6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6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6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6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6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6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6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6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6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6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6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6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6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6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6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6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6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6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6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6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6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6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6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6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6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6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6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6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6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6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6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6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6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6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6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6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6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6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6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6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6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6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6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6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6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6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6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6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6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6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6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6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6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6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6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6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6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6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6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6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6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6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6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6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6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6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6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6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6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6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6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6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6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6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6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6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6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6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6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6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6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6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6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6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6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6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6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6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6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6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6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6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6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6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6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6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6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6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6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6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6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6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6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6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6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6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6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6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6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6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6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6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6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6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6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6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6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6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6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6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6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6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6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6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6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6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6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6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6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6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6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6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6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6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6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6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6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6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6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6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6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6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6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6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6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6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6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6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6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6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6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6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6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6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6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6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6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6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6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6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6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6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6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6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6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6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6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6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6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6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6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6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6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6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6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6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6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6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6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6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6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6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6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6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6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6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6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6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6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6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6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6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6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6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6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6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6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6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6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6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6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6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6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6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6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6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6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6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6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6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6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6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6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6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6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6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6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6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6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6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6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6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6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6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6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6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6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6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6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6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6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6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6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6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6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6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6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6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6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6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6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6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6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6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6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6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6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6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6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6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6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6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6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6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6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6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6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6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6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6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6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6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6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6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6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6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6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6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6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6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6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6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6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6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6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6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6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6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6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6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6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6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6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6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6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6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6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6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6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6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6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6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6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6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6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6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6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6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6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6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6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6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6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6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6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6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6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6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6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6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6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6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6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6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6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6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6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6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6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6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6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6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6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6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6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6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6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6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6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6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6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6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6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6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6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6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6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6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6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6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6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6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6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6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6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6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6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6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6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6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6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6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6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6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6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6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6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6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6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6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6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6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6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6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6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6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6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6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6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6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6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6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6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6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6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6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6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6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6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6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6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6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6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6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6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6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6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6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6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6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6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6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6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6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6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6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6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6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6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6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6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6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6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6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6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6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6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6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6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6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6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6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6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6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6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6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6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6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6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6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6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6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6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6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6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6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6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6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6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6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6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6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6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6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6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6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6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6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6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6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6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6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6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6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6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6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6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6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6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6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6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6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6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6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6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B2:E2"/>
    <mergeCell ref="B3:E3"/>
    <mergeCell ref="B4:E4"/>
  </mergeCells>
  <dataValidations count="2">
    <dataValidation type="list" allowBlank="1" showErrorMessage="1" sqref="G2:G3 J2:J3 M2:M3 G9 J9 M9 M20:M21 G28:G147 J28:J147 M28:M147" xr:uid="{00000000-0002-0000-0300-000001000000}">
      <formula1>$S$2:$S$5</formula1>
    </dataValidation>
    <dataValidation type="list" allowBlank="1" sqref="F12:L14 F15 I15 L15 F16:L16 F17:I18 F19 I19 F20:I21 F23:I27 F28:F80 I28:I80 F22 I22 L17:L80" xr:uid="{00000000-0002-0000-0300-000002000000}">
      <formula1>"Passed,Failed,Pending,N/A"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'Home Page'!$S$2:$S$5</xm:f>
          </x14:formula1>
          <xm:sqref>M26:M27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10" topLeftCell="A11" activePane="bottomLeft" state="frozen"/>
      <selection pane="bottomLeft" activeCell="I12" sqref="I12"/>
    </sheetView>
  </sheetViews>
  <sheetFormatPr defaultColWidth="12.59765625" defaultRowHeight="15" customHeight="1" x14ac:dyDescent="0.25"/>
  <cols>
    <col min="1" max="1" width="17" customWidth="1"/>
    <col min="2" max="2" width="34.46484375" customWidth="1"/>
    <col min="3" max="3" width="33.3984375" customWidth="1"/>
    <col min="4" max="4" width="34.59765625" customWidth="1"/>
    <col min="5" max="5" width="28.3984375" customWidth="1"/>
    <col min="6" max="6" width="9.3984375" customWidth="1"/>
    <col min="7" max="7" width="10.59765625" hidden="1" customWidth="1"/>
    <col min="8" max="8" width="7" hidden="1" customWidth="1"/>
    <col min="9" max="9" width="9.3984375" customWidth="1"/>
    <col min="10" max="10" width="10.59765625" hidden="1" customWidth="1"/>
    <col min="11" max="11" width="7" hidden="1" customWidth="1"/>
    <col min="12" max="12" width="9.3984375" customWidth="1"/>
    <col min="13" max="13" width="10.59765625" hidden="1" customWidth="1"/>
    <col min="14" max="14" width="7" hidden="1" customWidth="1"/>
    <col min="15" max="15" width="16.59765625" customWidth="1"/>
    <col min="16" max="16" width="28.59765625" customWidth="1"/>
    <col min="17" max="17" width="10.1328125" customWidth="1"/>
    <col min="18" max="18" width="8.1328125" customWidth="1"/>
    <col min="19" max="19" width="7.59765625" hidden="1" customWidth="1"/>
    <col min="20" max="26" width="9" customWidth="1"/>
  </cols>
  <sheetData>
    <row r="1" spans="1:26" ht="12.7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6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5">
      <c r="A2" s="9" t="s">
        <v>1</v>
      </c>
      <c r="B2" s="175" t="s">
        <v>59</v>
      </c>
      <c r="C2" s="176"/>
      <c r="D2" s="176"/>
      <c r="E2" s="177"/>
      <c r="F2" s="11"/>
      <c r="G2" s="20"/>
      <c r="H2" s="21"/>
      <c r="I2" s="11"/>
      <c r="J2" s="20"/>
      <c r="K2" s="21"/>
      <c r="L2" s="11"/>
      <c r="M2" s="20"/>
      <c r="N2" s="21"/>
      <c r="O2" s="21"/>
      <c r="P2" s="21"/>
      <c r="Q2" s="21"/>
      <c r="R2" s="24"/>
      <c r="S2" s="25" t="s">
        <v>10</v>
      </c>
      <c r="T2" s="25"/>
      <c r="U2" s="25"/>
      <c r="V2" s="25"/>
      <c r="W2" s="25"/>
      <c r="X2" s="25"/>
      <c r="Y2" s="25"/>
      <c r="Z2" s="25"/>
    </row>
    <row r="3" spans="1:26" ht="42" customHeight="1" x14ac:dyDescent="0.35">
      <c r="A3" s="27" t="s">
        <v>11</v>
      </c>
      <c r="B3" s="178"/>
      <c r="C3" s="161"/>
      <c r="D3" s="161"/>
      <c r="E3" s="179"/>
      <c r="F3" s="11"/>
      <c r="G3" s="20"/>
      <c r="H3" s="21"/>
      <c r="I3" s="11"/>
      <c r="J3" s="20"/>
      <c r="K3" s="21"/>
      <c r="L3" s="11"/>
      <c r="M3" s="20"/>
      <c r="N3" s="21"/>
      <c r="O3" s="21"/>
      <c r="P3" s="21"/>
      <c r="Q3" s="21"/>
      <c r="R3" s="24"/>
      <c r="S3" s="25" t="s">
        <v>18</v>
      </c>
      <c r="T3" s="25"/>
      <c r="U3" s="25"/>
      <c r="V3" s="25"/>
      <c r="W3" s="25"/>
      <c r="X3" s="25"/>
      <c r="Y3" s="25"/>
      <c r="Z3" s="25"/>
    </row>
    <row r="4" spans="1:26" ht="18" customHeight="1" x14ac:dyDescent="0.35">
      <c r="A4" s="27" t="s">
        <v>19</v>
      </c>
      <c r="B4" s="178">
        <f>COUNTA($B$12:$B$1000)</f>
        <v>2</v>
      </c>
      <c r="C4" s="161"/>
      <c r="D4" s="161"/>
      <c r="E4" s="179"/>
      <c r="F4" s="11"/>
      <c r="G4" s="20"/>
      <c r="H4" s="21"/>
      <c r="I4" s="11"/>
      <c r="J4" s="20"/>
      <c r="K4" s="21"/>
      <c r="L4" s="11"/>
      <c r="M4" s="20"/>
      <c r="N4" s="21"/>
      <c r="O4" s="21"/>
      <c r="P4" s="21"/>
      <c r="Q4" s="21"/>
      <c r="R4" s="24"/>
      <c r="S4" s="25" t="s">
        <v>23</v>
      </c>
      <c r="T4" s="25"/>
      <c r="U4" s="25"/>
      <c r="V4" s="25"/>
      <c r="W4" s="25"/>
      <c r="X4" s="25"/>
      <c r="Y4" s="25"/>
      <c r="Z4" s="25"/>
    </row>
    <row r="5" spans="1:26" ht="19.5" customHeight="1" x14ac:dyDescent="0.35">
      <c r="A5" s="39" t="s">
        <v>25</v>
      </c>
      <c r="B5" s="42" t="s">
        <v>10</v>
      </c>
      <c r="C5" s="42" t="s">
        <v>18</v>
      </c>
      <c r="D5" s="42" t="s">
        <v>23</v>
      </c>
      <c r="E5" s="45" t="s">
        <v>27</v>
      </c>
      <c r="F5" s="46"/>
      <c r="G5" s="46"/>
      <c r="H5" s="48"/>
      <c r="I5" s="46"/>
      <c r="J5" s="46"/>
      <c r="K5" s="48"/>
      <c r="L5" s="46"/>
      <c r="M5" s="46"/>
      <c r="N5" s="48"/>
      <c r="O5" s="48"/>
      <c r="P5" s="48"/>
      <c r="Q5" s="48"/>
      <c r="R5" s="51"/>
      <c r="S5" s="25" t="s">
        <v>27</v>
      </c>
      <c r="T5" s="25"/>
      <c r="U5" s="25"/>
      <c r="V5" s="25"/>
      <c r="W5" s="25"/>
      <c r="X5" s="25"/>
      <c r="Y5" s="25"/>
      <c r="Z5" s="25"/>
    </row>
    <row r="6" spans="1:26" ht="15" customHeight="1" x14ac:dyDescent="0.35">
      <c r="A6" s="39" t="s">
        <v>32</v>
      </c>
      <c r="B6" s="56">
        <f t="shared" ref="B6:E6" si="0">COUNTIF($F$12:$F$1000,B$5)</f>
        <v>2</v>
      </c>
      <c r="C6" s="56">
        <f t="shared" si="0"/>
        <v>0</v>
      </c>
      <c r="D6" s="56">
        <f t="shared" si="0"/>
        <v>0</v>
      </c>
      <c r="E6" s="60">
        <f t="shared" si="0"/>
        <v>0</v>
      </c>
      <c r="F6" s="62"/>
      <c r="G6" s="62"/>
      <c r="H6" s="48"/>
      <c r="I6" s="62"/>
      <c r="J6" s="62"/>
      <c r="K6" s="48"/>
      <c r="L6" s="62"/>
      <c r="M6" s="62"/>
      <c r="N6" s="48"/>
      <c r="O6" s="48"/>
      <c r="P6" s="48"/>
      <c r="Q6" s="48"/>
      <c r="R6" s="51"/>
      <c r="S6" s="25"/>
      <c r="T6" s="25"/>
      <c r="U6" s="25"/>
      <c r="V6" s="25"/>
      <c r="W6" s="25"/>
      <c r="X6" s="25"/>
      <c r="Y6" s="25"/>
      <c r="Z6" s="25"/>
    </row>
    <row r="7" spans="1:26" ht="15" customHeight="1" x14ac:dyDescent="0.35">
      <c r="A7" s="39" t="s">
        <v>40</v>
      </c>
      <c r="B7" s="56">
        <f t="shared" ref="B7:E7" si="1">COUNTIF($I$12:$I$1000,B$5)</f>
        <v>2</v>
      </c>
      <c r="C7" s="56">
        <f t="shared" si="1"/>
        <v>0</v>
      </c>
      <c r="D7" s="56">
        <f t="shared" si="1"/>
        <v>0</v>
      </c>
      <c r="E7" s="60">
        <f t="shared" si="1"/>
        <v>0</v>
      </c>
      <c r="F7" s="62"/>
      <c r="G7" s="62"/>
      <c r="H7" s="48"/>
      <c r="I7" s="62"/>
      <c r="J7" s="62"/>
      <c r="K7" s="48"/>
      <c r="L7" s="62"/>
      <c r="M7" s="62"/>
      <c r="N7" s="48"/>
      <c r="O7" s="48"/>
      <c r="P7" s="48"/>
      <c r="Q7" s="48"/>
      <c r="R7" s="51"/>
      <c r="S7" s="25"/>
      <c r="T7" s="25"/>
      <c r="U7" s="25"/>
      <c r="V7" s="25"/>
      <c r="W7" s="25"/>
      <c r="X7" s="25"/>
      <c r="Y7" s="25"/>
      <c r="Z7" s="25"/>
    </row>
    <row r="8" spans="1:26" ht="15" customHeight="1" x14ac:dyDescent="0.35">
      <c r="A8" s="73" t="s">
        <v>46</v>
      </c>
      <c r="B8" s="74">
        <f t="shared" ref="B8:E8" si="2">COUNTIF($L$12:$L$1000,B$5)</f>
        <v>2</v>
      </c>
      <c r="C8" s="74">
        <f t="shared" si="2"/>
        <v>0</v>
      </c>
      <c r="D8" s="74">
        <f t="shared" si="2"/>
        <v>0</v>
      </c>
      <c r="E8" s="78">
        <f t="shared" si="2"/>
        <v>0</v>
      </c>
      <c r="F8" s="62"/>
      <c r="G8" s="62"/>
      <c r="H8" s="48"/>
      <c r="I8" s="62"/>
      <c r="J8" s="62"/>
      <c r="K8" s="48"/>
      <c r="L8" s="62"/>
      <c r="M8" s="62"/>
      <c r="N8" s="48"/>
      <c r="O8" s="48"/>
      <c r="P8" s="48"/>
      <c r="Q8" s="48"/>
      <c r="R8" s="51"/>
      <c r="S8" s="25"/>
      <c r="T8" s="25"/>
      <c r="U8" s="25"/>
      <c r="V8" s="25"/>
      <c r="W8" s="25"/>
      <c r="X8" s="25"/>
      <c r="Y8" s="25"/>
      <c r="Z8" s="25"/>
    </row>
    <row r="9" spans="1:26" ht="15" customHeight="1" x14ac:dyDescent="0.35">
      <c r="A9" s="48"/>
      <c r="B9" s="48"/>
      <c r="C9" s="48"/>
      <c r="D9" s="48"/>
      <c r="E9" s="48"/>
      <c r="F9" s="80"/>
      <c r="G9" s="48"/>
      <c r="H9" s="48"/>
      <c r="I9" s="80"/>
      <c r="J9" s="48"/>
      <c r="K9" s="48"/>
      <c r="L9" s="80"/>
      <c r="M9" s="48"/>
      <c r="N9" s="48"/>
      <c r="O9" s="48"/>
      <c r="P9" s="48"/>
      <c r="Q9" s="48"/>
      <c r="R9" s="51"/>
      <c r="S9" s="25"/>
      <c r="T9" s="25"/>
      <c r="U9" s="25"/>
      <c r="V9" s="25"/>
      <c r="W9" s="25"/>
      <c r="X9" s="25"/>
      <c r="Y9" s="25"/>
      <c r="Z9" s="25"/>
    </row>
    <row r="10" spans="1:26" ht="25.5" customHeight="1" x14ac:dyDescent="0.35">
      <c r="A10" s="85" t="s">
        <v>58</v>
      </c>
      <c r="B10" s="85" t="s">
        <v>60</v>
      </c>
      <c r="C10" s="85" t="s">
        <v>61</v>
      </c>
      <c r="D10" s="85" t="s">
        <v>63</v>
      </c>
      <c r="E10" s="85" t="s">
        <v>64</v>
      </c>
      <c r="F10" s="85" t="s">
        <v>32</v>
      </c>
      <c r="G10" s="85" t="s">
        <v>65</v>
      </c>
      <c r="H10" s="85" t="s">
        <v>66</v>
      </c>
      <c r="I10" s="85" t="s">
        <v>40</v>
      </c>
      <c r="J10" s="85" t="s">
        <v>65</v>
      </c>
      <c r="K10" s="85" t="s">
        <v>66</v>
      </c>
      <c r="L10" s="85" t="s">
        <v>46</v>
      </c>
      <c r="M10" s="85" t="s">
        <v>65</v>
      </c>
      <c r="N10" s="85" t="s">
        <v>66</v>
      </c>
      <c r="O10" s="85" t="s">
        <v>67</v>
      </c>
      <c r="P10" s="85" t="s">
        <v>68</v>
      </c>
      <c r="Q10" s="25"/>
      <c r="R10" s="88"/>
      <c r="S10" s="25"/>
      <c r="T10" s="25"/>
      <c r="U10" s="25"/>
      <c r="V10" s="25"/>
      <c r="W10" s="25"/>
      <c r="X10" s="25"/>
      <c r="Y10" s="25"/>
      <c r="Z10" s="25"/>
    </row>
    <row r="11" spans="1:26" ht="22.5" customHeight="1" x14ac:dyDescent="0.4">
      <c r="A11" s="91" t="s">
        <v>59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25"/>
      <c r="R11" s="94"/>
      <c r="S11" s="25"/>
      <c r="T11" s="25"/>
      <c r="U11" s="25"/>
      <c r="V11" s="25"/>
      <c r="W11" s="25"/>
      <c r="X11" s="25"/>
      <c r="Y11" s="25"/>
      <c r="Z11" s="25"/>
    </row>
    <row r="12" spans="1:26" ht="79.5" customHeight="1" x14ac:dyDescent="0.25">
      <c r="A12" s="97" t="s">
        <v>151</v>
      </c>
      <c r="B12" s="97" t="s">
        <v>152</v>
      </c>
      <c r="C12" s="97" t="s">
        <v>153</v>
      </c>
      <c r="D12" s="97" t="s">
        <v>154</v>
      </c>
      <c r="E12" s="97" t="s">
        <v>155</v>
      </c>
      <c r="F12" s="97" t="s">
        <v>10</v>
      </c>
      <c r="G12" s="97" t="s">
        <v>10</v>
      </c>
      <c r="H12" s="97" t="s">
        <v>10</v>
      </c>
      <c r="I12" s="97" t="s">
        <v>10</v>
      </c>
      <c r="J12" s="97" t="s">
        <v>10</v>
      </c>
      <c r="K12" s="97" t="s">
        <v>10</v>
      </c>
      <c r="L12" s="97" t="s">
        <v>10</v>
      </c>
      <c r="M12" s="97"/>
      <c r="N12" s="97"/>
      <c r="O12" s="97"/>
      <c r="P12" s="97"/>
      <c r="Q12" s="101"/>
      <c r="R12" s="103"/>
      <c r="S12" s="101"/>
      <c r="T12" s="101"/>
      <c r="U12" s="101"/>
      <c r="V12" s="101"/>
      <c r="W12" s="101"/>
      <c r="X12" s="101"/>
      <c r="Y12" s="101"/>
      <c r="Z12" s="101"/>
    </row>
    <row r="13" spans="1:26" ht="63" customHeight="1" x14ac:dyDescent="0.35">
      <c r="A13" s="97" t="s">
        <v>156</v>
      </c>
      <c r="B13" s="97" t="s">
        <v>157</v>
      </c>
      <c r="C13" s="97" t="s">
        <v>158</v>
      </c>
      <c r="D13" s="97" t="s">
        <v>159</v>
      </c>
      <c r="E13" s="97" t="s">
        <v>160</v>
      </c>
      <c r="F13" s="97" t="s">
        <v>10</v>
      </c>
      <c r="G13" s="97" t="s">
        <v>10</v>
      </c>
      <c r="H13" s="97" t="s">
        <v>10</v>
      </c>
      <c r="I13" s="97" t="s">
        <v>10</v>
      </c>
      <c r="J13" s="97" t="s">
        <v>10</v>
      </c>
      <c r="K13" s="97" t="s">
        <v>10</v>
      </c>
      <c r="L13" s="97" t="s">
        <v>10</v>
      </c>
      <c r="M13" s="97"/>
      <c r="N13" s="97"/>
      <c r="O13" s="97"/>
      <c r="P13" s="97"/>
      <c r="Q13" s="3"/>
      <c r="R13" s="103"/>
      <c r="S13" s="3"/>
      <c r="T13" s="3"/>
      <c r="U13" s="3"/>
      <c r="V13" s="3"/>
      <c r="W13" s="3"/>
      <c r="X13" s="3"/>
      <c r="Y13" s="3"/>
      <c r="Z13" s="3"/>
    </row>
    <row r="14" spans="1:26" ht="22.5" customHeight="1" x14ac:dyDescent="0.35">
      <c r="Q14" s="3"/>
      <c r="R14" s="103"/>
      <c r="S14" s="3"/>
      <c r="T14" s="3"/>
      <c r="U14" s="3"/>
      <c r="V14" s="3"/>
      <c r="W14" s="3"/>
      <c r="X14" s="3"/>
      <c r="Y14" s="3"/>
      <c r="Z14" s="3"/>
    </row>
    <row r="15" spans="1:26" ht="96.75" customHeight="1" x14ac:dyDescent="0.35">
      <c r="Q15" s="25"/>
      <c r="R15" s="94"/>
      <c r="S15" s="25"/>
      <c r="T15" s="25"/>
      <c r="U15" s="25"/>
      <c r="V15" s="25"/>
      <c r="W15" s="25"/>
      <c r="X15" s="25"/>
      <c r="Y15" s="25"/>
      <c r="Z15" s="25"/>
    </row>
    <row r="16" spans="1:26" ht="96.75" customHeight="1" x14ac:dyDescent="0.35">
      <c r="Q16" s="3"/>
      <c r="R16" s="103"/>
      <c r="S16" s="3"/>
      <c r="T16" s="3"/>
      <c r="U16" s="3"/>
      <c r="V16" s="3"/>
      <c r="W16" s="3"/>
      <c r="X16" s="3"/>
      <c r="Y16" s="3"/>
      <c r="Z16" s="3"/>
    </row>
    <row r="17" spans="1:26" ht="114" customHeight="1" x14ac:dyDescent="0.35">
      <c r="Q17" s="3"/>
      <c r="R17" s="6"/>
      <c r="S17" s="3"/>
      <c r="T17" s="3"/>
      <c r="U17" s="3"/>
      <c r="V17" s="3"/>
      <c r="W17" s="3"/>
      <c r="X17" s="3"/>
      <c r="Y17" s="3"/>
      <c r="Z17" s="3"/>
    </row>
    <row r="18" spans="1:26" ht="96.75" customHeight="1" x14ac:dyDescent="0.35">
      <c r="Q18" s="3"/>
      <c r="R18" s="6"/>
      <c r="S18" s="3"/>
      <c r="T18" s="3"/>
      <c r="U18" s="3"/>
      <c r="V18" s="3"/>
      <c r="W18" s="3"/>
      <c r="X18" s="3"/>
      <c r="Y18" s="3"/>
      <c r="Z18" s="3"/>
    </row>
    <row r="19" spans="1:26" ht="96.75" customHeight="1" x14ac:dyDescent="0.35">
      <c r="Q19" s="3"/>
      <c r="R19" s="6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6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6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6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6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6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6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6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6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6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6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6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6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6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6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6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6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6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6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6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6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6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6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6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6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6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6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6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6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6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6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6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6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6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6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6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6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6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6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6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6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6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6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6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6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6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6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6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6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6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6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6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6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6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6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6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6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6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6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6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6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6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6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6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6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6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6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6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6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6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6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6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6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6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6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6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6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6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6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6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6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6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6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6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6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6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6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6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6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6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6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6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6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6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6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6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6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6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6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6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6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6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6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6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6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6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6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6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6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6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6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6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6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6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6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6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6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6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6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6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6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6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6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6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6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6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6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6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6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6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6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6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6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6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6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6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6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6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6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6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6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6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6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6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6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6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6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6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6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6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6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6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6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6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6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6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6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6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6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6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6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6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6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6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6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6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6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6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6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6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6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6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6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6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6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6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6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6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6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6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6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6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6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6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6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6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6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6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6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6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6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6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6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6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6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6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6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6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6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6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6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6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6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6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6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6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6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6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6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6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6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6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6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6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6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6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6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6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6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6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6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6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6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6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6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6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6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6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6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6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6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6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6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6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6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6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6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6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6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6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6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6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6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6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6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6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6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6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6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6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6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6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6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6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6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6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6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6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6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6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6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6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6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6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6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6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6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6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6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6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6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6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6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6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6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6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6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6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6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6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6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6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6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6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6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6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6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6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6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6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6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6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6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6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6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6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6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6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6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6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6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6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6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6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6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6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6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6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6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6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6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6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6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6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6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6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6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6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6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6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6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6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6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6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6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6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6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6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6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6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6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6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6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6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6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6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6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6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6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6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6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6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6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6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6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6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6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6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6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6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6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6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6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6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6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6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6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6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6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6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6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6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6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6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6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6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6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6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6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6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6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6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6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6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6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6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6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6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6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6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6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6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6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6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6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6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6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6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6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6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6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6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6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6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6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6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6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6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6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6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6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6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6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6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6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6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6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6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6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6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6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6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6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6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6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6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6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6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6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6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6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6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6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6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6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6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6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6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6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6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6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6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6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6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6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6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6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6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6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6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6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6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6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6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6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6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6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6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6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6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6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6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6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6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6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6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6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6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6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6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6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6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6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6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6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6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6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6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6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6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6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6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6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6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6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6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6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6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6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6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6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6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6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6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6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6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6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6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6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6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6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6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6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6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6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6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6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6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6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6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6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6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6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6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6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6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6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6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6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6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6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6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6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6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6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6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6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6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6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6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6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6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6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6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6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6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6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6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6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6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6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6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6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6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6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6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6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6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6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6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6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6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6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6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6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6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6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6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6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6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6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6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6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6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6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6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6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6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6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6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6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6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6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6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6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6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6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6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6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6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6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6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6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6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6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6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6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6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6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6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6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6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6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6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6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6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6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6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6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6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6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6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6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6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6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6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6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6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6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6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6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6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6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6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6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6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6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6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6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6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6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6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6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6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6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6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6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6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6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6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6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6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6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6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6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6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6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6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6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6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6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6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6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6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6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6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6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6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6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6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6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6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6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6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6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6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6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6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6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6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6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6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6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6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6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6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6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6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6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6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6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6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6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6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6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6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6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6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6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6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6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6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6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6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6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6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6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6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6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6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6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6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6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6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6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6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6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6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6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6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6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6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6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6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6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6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6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6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6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6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6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6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6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6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6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6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6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6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6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6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6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6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6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6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6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6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6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6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6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6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6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6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6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6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6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6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6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6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6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6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6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6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6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6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6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6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6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6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6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6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6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6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6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6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6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6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6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6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6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6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6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6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6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6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6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6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6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6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6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6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6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6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6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6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6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6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6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6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6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6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6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6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6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6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6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6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6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6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6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6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6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6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6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6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6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6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6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6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6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6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6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6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6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6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6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6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6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6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6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6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6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6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6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6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6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6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6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6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6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6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6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6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6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6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6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6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6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6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6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6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6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6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6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6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6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6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6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6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6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6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6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6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6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6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6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6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6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6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6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6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6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6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6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6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6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6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6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6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6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6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6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6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6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6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6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6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6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6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6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6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6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6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6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6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6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6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6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6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6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6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6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6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6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6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6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6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6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6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6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6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6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6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6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6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6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6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6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6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6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6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6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6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6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6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6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6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6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6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6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6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6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6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6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6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6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6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6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6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6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6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6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6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6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6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6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6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6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6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6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6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6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6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6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6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6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6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6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6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6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6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6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6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6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6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6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6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6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6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6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6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6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6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6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6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6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6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6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6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6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6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6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6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6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6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6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6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6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6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6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6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6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6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6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6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6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6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6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6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6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6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6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6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6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6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6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6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6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6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6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6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6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6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B2:E2"/>
    <mergeCell ref="B3:E3"/>
    <mergeCell ref="B4:E4"/>
  </mergeCells>
  <dataValidations count="2">
    <dataValidation type="list" allowBlank="1" showErrorMessage="1" sqref="G2:G3 J2:J3 M2:M3 G9 J9 M9 G20:G145 J20:J145 M20:M145" xr:uid="{00000000-0002-0000-0400-000000000000}">
      <formula1>$S$2:$S$5</formula1>
    </dataValidation>
    <dataValidation type="list" allowBlank="1" sqref="F12:L13 F20:F80 I20:I80 L20:L80" xr:uid="{00000000-0002-0000-0400-000001000000}">
      <formula1>"Passed,Failed,Pending,N/A"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12"/>
  <sheetViews>
    <sheetView topLeftCell="B1" workbookViewId="0">
      <pane ySplit="10" topLeftCell="A11" activePane="bottomLeft" state="frozen"/>
      <selection pane="bottomLeft" activeCell="F12" sqref="F12"/>
    </sheetView>
  </sheetViews>
  <sheetFormatPr defaultColWidth="12.59765625" defaultRowHeight="15" customHeight="1" outlineLevelRow="1" outlineLevelCol="1" x14ac:dyDescent="0.25"/>
  <cols>
    <col min="1" max="1" width="17" customWidth="1"/>
    <col min="2" max="2" width="34.46484375" customWidth="1"/>
    <col min="3" max="3" width="34.1328125" customWidth="1"/>
    <col min="4" max="4" width="34.59765625" customWidth="1"/>
    <col min="5" max="5" width="28.3984375" customWidth="1"/>
    <col min="6" max="6" width="9.3984375" customWidth="1" collapsed="1"/>
    <col min="7" max="7" width="10.59765625" hidden="1" customWidth="1" outlineLevel="1"/>
    <col min="8" max="8" width="7" hidden="1" customWidth="1" outlineLevel="1"/>
    <col min="9" max="9" width="9.3984375" customWidth="1" collapsed="1"/>
    <col min="10" max="10" width="10.59765625" hidden="1" customWidth="1" outlineLevel="1"/>
    <col min="11" max="11" width="7" hidden="1" customWidth="1" outlineLevel="1"/>
    <col min="12" max="12" width="9.3984375" customWidth="1" collapsed="1"/>
    <col min="13" max="13" width="10.59765625" hidden="1" customWidth="1" outlineLevel="1"/>
    <col min="14" max="14" width="7" hidden="1" customWidth="1" outlineLevel="1"/>
    <col min="15" max="15" width="16.59765625" customWidth="1"/>
    <col min="16" max="16" width="28.59765625" customWidth="1"/>
    <col min="17" max="17" width="10.1328125" customWidth="1"/>
    <col min="18" max="18" width="8.1328125" customWidth="1"/>
    <col min="19" max="19" width="7.59765625" hidden="1" customWidth="1"/>
    <col min="20" max="26" width="9" customWidth="1"/>
  </cols>
  <sheetData>
    <row r="1" spans="1:26" ht="12.75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123"/>
      <c r="S1" s="4"/>
      <c r="T1" s="4"/>
      <c r="U1" s="4"/>
      <c r="V1" s="4"/>
      <c r="W1" s="4"/>
      <c r="X1" s="4"/>
      <c r="Y1" s="4"/>
      <c r="Z1" s="4"/>
    </row>
    <row r="2" spans="1:26" ht="15" customHeight="1" x14ac:dyDescent="0.35">
      <c r="A2" s="9" t="s">
        <v>1</v>
      </c>
      <c r="B2" s="175" t="s">
        <v>48</v>
      </c>
      <c r="C2" s="176"/>
      <c r="D2" s="176"/>
      <c r="E2" s="177"/>
      <c r="F2" s="124"/>
      <c r="G2" s="125"/>
      <c r="H2" s="26"/>
      <c r="I2" s="124"/>
      <c r="J2" s="125"/>
      <c r="K2" s="26"/>
      <c r="L2" s="124"/>
      <c r="M2" s="125"/>
      <c r="N2" s="26"/>
      <c r="O2" s="26"/>
      <c r="P2" s="26"/>
      <c r="Q2" s="26"/>
      <c r="R2" s="126"/>
      <c r="S2" s="127" t="s">
        <v>10</v>
      </c>
      <c r="T2" s="127"/>
      <c r="U2" s="127"/>
      <c r="V2" s="127"/>
      <c r="W2" s="127"/>
      <c r="X2" s="127"/>
      <c r="Y2" s="127"/>
      <c r="Z2" s="127"/>
    </row>
    <row r="3" spans="1:26" ht="12.75" customHeight="1" x14ac:dyDescent="0.35">
      <c r="A3" s="27" t="s">
        <v>11</v>
      </c>
      <c r="B3" s="178"/>
      <c r="C3" s="161"/>
      <c r="D3" s="161"/>
      <c r="E3" s="179"/>
      <c r="F3" s="124"/>
      <c r="G3" s="125"/>
      <c r="H3" s="26"/>
      <c r="I3" s="124"/>
      <c r="J3" s="125"/>
      <c r="K3" s="26"/>
      <c r="L3" s="124"/>
      <c r="M3" s="125"/>
      <c r="N3" s="26"/>
      <c r="O3" s="26"/>
      <c r="P3" s="26"/>
      <c r="Q3" s="26"/>
      <c r="R3" s="126"/>
      <c r="S3" s="127" t="s">
        <v>18</v>
      </c>
      <c r="T3" s="127"/>
      <c r="U3" s="127"/>
      <c r="V3" s="127"/>
      <c r="W3" s="127"/>
      <c r="X3" s="127"/>
      <c r="Y3" s="127"/>
      <c r="Z3" s="127"/>
    </row>
    <row r="4" spans="1:26" ht="18" customHeight="1" x14ac:dyDescent="0.35">
      <c r="A4" s="27" t="s">
        <v>19</v>
      </c>
      <c r="B4" s="178">
        <f>COUNTA(A12:A1012)</f>
        <v>20</v>
      </c>
      <c r="C4" s="161"/>
      <c r="D4" s="161"/>
      <c r="E4" s="179"/>
      <c r="F4" s="124"/>
      <c r="G4" s="125"/>
      <c r="H4" s="26"/>
      <c r="I4" s="124"/>
      <c r="J4" s="125"/>
      <c r="K4" s="26"/>
      <c r="L4" s="124"/>
      <c r="M4" s="125"/>
      <c r="N4" s="26"/>
      <c r="O4" s="26"/>
      <c r="P4" s="26"/>
      <c r="Q4" s="26"/>
      <c r="R4" s="126"/>
      <c r="S4" s="127" t="s">
        <v>23</v>
      </c>
      <c r="T4" s="127"/>
      <c r="U4" s="127"/>
      <c r="V4" s="127"/>
      <c r="W4" s="127"/>
      <c r="X4" s="127"/>
      <c r="Y4" s="127"/>
      <c r="Z4" s="127"/>
    </row>
    <row r="5" spans="1:26" ht="19.5" customHeight="1" x14ac:dyDescent="0.35">
      <c r="A5" s="39" t="s">
        <v>25</v>
      </c>
      <c r="B5" s="42" t="s">
        <v>10</v>
      </c>
      <c r="C5" s="42" t="s">
        <v>18</v>
      </c>
      <c r="D5" s="42" t="s">
        <v>23</v>
      </c>
      <c r="E5" s="45" t="s">
        <v>27</v>
      </c>
      <c r="F5" s="128"/>
      <c r="G5" s="128"/>
      <c r="H5" s="129"/>
      <c r="I5" s="128"/>
      <c r="J5" s="128"/>
      <c r="K5" s="129"/>
      <c r="L5" s="128"/>
      <c r="M5" s="128"/>
      <c r="N5" s="129"/>
      <c r="O5" s="129"/>
      <c r="P5" s="129"/>
      <c r="Q5" s="129"/>
      <c r="R5" s="130"/>
      <c r="S5" s="127" t="s">
        <v>27</v>
      </c>
      <c r="T5" s="127"/>
      <c r="U5" s="127"/>
      <c r="V5" s="127"/>
      <c r="W5" s="127"/>
      <c r="X5" s="127"/>
      <c r="Y5" s="127"/>
      <c r="Z5" s="127"/>
    </row>
    <row r="6" spans="1:26" ht="15" customHeight="1" x14ac:dyDescent="0.35">
      <c r="A6" s="39" t="s">
        <v>32</v>
      </c>
      <c r="B6" s="56">
        <f t="shared" ref="B6:E6" si="0">COUNTIF($F10:$F1010,B5)</f>
        <v>15</v>
      </c>
      <c r="C6" s="56">
        <f t="shared" si="0"/>
        <v>3</v>
      </c>
      <c r="D6" s="56">
        <f t="shared" si="0"/>
        <v>0</v>
      </c>
      <c r="E6" s="60">
        <f t="shared" si="0"/>
        <v>0</v>
      </c>
      <c r="F6" s="131"/>
      <c r="G6" s="131"/>
      <c r="H6" s="129"/>
      <c r="I6" s="131"/>
      <c r="J6" s="131"/>
      <c r="K6" s="129"/>
      <c r="L6" s="131"/>
      <c r="M6" s="131"/>
      <c r="N6" s="129"/>
      <c r="O6" s="129"/>
      <c r="P6" s="129"/>
      <c r="Q6" s="129"/>
      <c r="R6" s="130"/>
      <c r="S6" s="127"/>
      <c r="T6" s="127"/>
      <c r="U6" s="127"/>
      <c r="V6" s="127"/>
      <c r="W6" s="127"/>
      <c r="X6" s="127"/>
      <c r="Y6" s="127"/>
      <c r="Z6" s="127"/>
    </row>
    <row r="7" spans="1:26" ht="15" customHeight="1" x14ac:dyDescent="0.35">
      <c r="A7" s="39" t="s">
        <v>40</v>
      </c>
      <c r="B7" s="56">
        <f>COUNTIF($I10:$I1010,B5)</f>
        <v>14</v>
      </c>
      <c r="C7" s="56">
        <f t="shared" ref="C7:D7" si="1">COUNTIF($L10:$L1010,C5)</f>
        <v>0</v>
      </c>
      <c r="D7" s="56">
        <f t="shared" si="1"/>
        <v>2</v>
      </c>
      <c r="E7" s="60">
        <f>COUNTIF($F10:$F1010,E5)</f>
        <v>0</v>
      </c>
      <c r="F7" s="131"/>
      <c r="G7" s="131"/>
      <c r="H7" s="129"/>
      <c r="I7" s="131"/>
      <c r="J7" s="131"/>
      <c r="K7" s="129"/>
      <c r="L7" s="131"/>
      <c r="M7" s="131"/>
      <c r="N7" s="129"/>
      <c r="O7" s="129"/>
      <c r="P7" s="129"/>
      <c r="Q7" s="129"/>
      <c r="R7" s="130"/>
      <c r="S7" s="127"/>
      <c r="T7" s="127"/>
      <c r="U7" s="127"/>
      <c r="V7" s="127"/>
      <c r="W7" s="127"/>
      <c r="X7" s="127"/>
      <c r="Y7" s="127"/>
      <c r="Z7" s="127"/>
    </row>
    <row r="8" spans="1:26" ht="15" customHeight="1" x14ac:dyDescent="0.35">
      <c r="A8" s="73" t="s">
        <v>46</v>
      </c>
      <c r="B8" s="74">
        <f t="shared" ref="B8:D8" si="2">COUNTIF($L10:$L1010,B5)</f>
        <v>16</v>
      </c>
      <c r="C8" s="74">
        <f t="shared" si="2"/>
        <v>0</v>
      </c>
      <c r="D8" s="74">
        <f t="shared" si="2"/>
        <v>2</v>
      </c>
      <c r="E8" s="78">
        <f>COUNTIF($F10:$F1010,E5)</f>
        <v>0</v>
      </c>
      <c r="F8" s="131"/>
      <c r="G8" s="131"/>
      <c r="H8" s="129"/>
      <c r="I8" s="131"/>
      <c r="J8" s="131"/>
      <c r="K8" s="129"/>
      <c r="L8" s="131"/>
      <c r="M8" s="131"/>
      <c r="N8" s="129"/>
      <c r="O8" s="129"/>
      <c r="P8" s="129"/>
      <c r="Q8" s="129"/>
      <c r="R8" s="130"/>
      <c r="S8" s="127"/>
      <c r="T8" s="127"/>
      <c r="U8" s="127"/>
      <c r="V8" s="127"/>
      <c r="W8" s="127"/>
      <c r="X8" s="127"/>
      <c r="Y8" s="127"/>
      <c r="Z8" s="127"/>
    </row>
    <row r="9" spans="1:26" ht="15" customHeight="1" x14ac:dyDescent="0.35">
      <c r="A9" s="129"/>
      <c r="B9" s="129"/>
      <c r="C9" s="129"/>
      <c r="D9" s="129"/>
      <c r="E9" s="129"/>
      <c r="F9" s="122"/>
      <c r="G9" s="129"/>
      <c r="H9" s="129"/>
      <c r="I9" s="122"/>
      <c r="J9" s="129"/>
      <c r="K9" s="129"/>
      <c r="L9" s="122"/>
      <c r="M9" s="129"/>
      <c r="N9" s="129"/>
      <c r="O9" s="129"/>
      <c r="P9" s="129"/>
      <c r="Q9" s="129"/>
      <c r="R9" s="130"/>
      <c r="S9" s="127"/>
      <c r="T9" s="127"/>
      <c r="U9" s="127"/>
      <c r="V9" s="127"/>
      <c r="W9" s="127"/>
      <c r="X9" s="127"/>
      <c r="Y9" s="127"/>
      <c r="Z9" s="127"/>
    </row>
    <row r="10" spans="1:26" ht="25.5" customHeight="1" x14ac:dyDescent="0.35">
      <c r="A10" s="85" t="s">
        <v>58</v>
      </c>
      <c r="B10" s="85" t="s">
        <v>60</v>
      </c>
      <c r="C10" s="85" t="s">
        <v>61</v>
      </c>
      <c r="D10" s="85" t="s">
        <v>63</v>
      </c>
      <c r="E10" s="85" t="s">
        <v>64</v>
      </c>
      <c r="F10" s="85" t="s">
        <v>32</v>
      </c>
      <c r="G10" s="85" t="s">
        <v>65</v>
      </c>
      <c r="H10" s="85" t="s">
        <v>66</v>
      </c>
      <c r="I10" s="85" t="s">
        <v>40</v>
      </c>
      <c r="J10" s="85" t="s">
        <v>65</v>
      </c>
      <c r="K10" s="85" t="s">
        <v>66</v>
      </c>
      <c r="L10" s="85" t="s">
        <v>46</v>
      </c>
      <c r="M10" s="85" t="s">
        <v>65</v>
      </c>
      <c r="N10" s="85" t="s">
        <v>66</v>
      </c>
      <c r="O10" s="85" t="s">
        <v>67</v>
      </c>
      <c r="P10" s="85" t="s">
        <v>68</v>
      </c>
      <c r="Q10" s="127"/>
      <c r="R10" s="132"/>
      <c r="S10" s="127"/>
      <c r="T10" s="127"/>
      <c r="U10" s="127"/>
      <c r="V10" s="127"/>
      <c r="W10" s="127"/>
      <c r="X10" s="127"/>
      <c r="Y10" s="127"/>
      <c r="Z10" s="127"/>
    </row>
    <row r="11" spans="1:26" ht="15.75" customHeight="1" x14ac:dyDescent="0.35">
      <c r="A11" s="133" t="s">
        <v>69</v>
      </c>
      <c r="B11" s="133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5"/>
      <c r="Q11" s="127"/>
      <c r="R11" s="136"/>
      <c r="S11" s="127"/>
      <c r="T11" s="127"/>
      <c r="U11" s="127"/>
      <c r="V11" s="127"/>
      <c r="W11" s="127"/>
      <c r="X11" s="127"/>
      <c r="Y11" s="127"/>
      <c r="Z11" s="127"/>
    </row>
    <row r="12" spans="1:26" ht="120.75" customHeight="1" outlineLevel="1" x14ac:dyDescent="0.25">
      <c r="A12" s="137" t="s">
        <v>161</v>
      </c>
      <c r="B12" s="138" t="s">
        <v>162</v>
      </c>
      <c r="C12" s="138" t="s">
        <v>163</v>
      </c>
      <c r="D12" s="139" t="s">
        <v>164</v>
      </c>
      <c r="E12" s="139" t="s">
        <v>165</v>
      </c>
      <c r="F12" s="137" t="s">
        <v>18</v>
      </c>
      <c r="G12" s="137"/>
      <c r="H12" s="137"/>
      <c r="I12" s="137" t="s">
        <v>23</v>
      </c>
      <c r="J12" s="137"/>
      <c r="K12" s="137"/>
      <c r="L12" s="137" t="s">
        <v>23</v>
      </c>
      <c r="M12" s="137"/>
      <c r="N12" s="137"/>
      <c r="O12" s="137"/>
      <c r="P12" s="137"/>
      <c r="Q12" s="140"/>
      <c r="R12" s="141"/>
      <c r="S12" s="140"/>
      <c r="T12" s="140"/>
      <c r="U12" s="140"/>
      <c r="V12" s="140"/>
      <c r="W12" s="140"/>
      <c r="X12" s="140"/>
      <c r="Y12" s="140"/>
      <c r="Z12" s="140"/>
    </row>
    <row r="13" spans="1:26" ht="12.75" customHeight="1" outlineLevel="1" x14ac:dyDescent="0.35">
      <c r="A13" s="142" t="s">
        <v>166</v>
      </c>
      <c r="B13" s="142" t="s">
        <v>167</v>
      </c>
      <c r="C13" s="142" t="s">
        <v>168</v>
      </c>
      <c r="D13" s="139" t="s">
        <v>169</v>
      </c>
      <c r="E13" s="139" t="s">
        <v>170</v>
      </c>
      <c r="F13" s="137" t="s">
        <v>18</v>
      </c>
      <c r="G13" s="137"/>
      <c r="H13" s="137"/>
      <c r="I13" s="137" t="s">
        <v>10</v>
      </c>
      <c r="J13" s="137"/>
      <c r="K13" s="137"/>
      <c r="L13" s="137" t="s">
        <v>10</v>
      </c>
      <c r="M13" s="137"/>
      <c r="N13" s="137"/>
      <c r="O13" s="137"/>
      <c r="P13" s="137"/>
      <c r="Q13" s="4"/>
      <c r="R13" s="141"/>
      <c r="S13" s="4"/>
      <c r="T13" s="4"/>
      <c r="U13" s="4"/>
      <c r="V13" s="4"/>
      <c r="W13" s="4"/>
      <c r="X13" s="4"/>
      <c r="Y13" s="4"/>
      <c r="Z13" s="4"/>
    </row>
    <row r="14" spans="1:26" ht="12.75" customHeight="1" outlineLevel="1" x14ac:dyDescent="0.35">
      <c r="A14" s="137" t="s">
        <v>171</v>
      </c>
      <c r="B14" s="137" t="s">
        <v>172</v>
      </c>
      <c r="C14" s="137" t="s">
        <v>173</v>
      </c>
      <c r="D14" s="139" t="s">
        <v>174</v>
      </c>
      <c r="E14" s="139" t="s">
        <v>175</v>
      </c>
      <c r="F14" s="137" t="s">
        <v>10</v>
      </c>
      <c r="G14" s="137"/>
      <c r="H14" s="137"/>
      <c r="I14" s="137" t="s">
        <v>10</v>
      </c>
      <c r="J14" s="137"/>
      <c r="K14" s="137"/>
      <c r="L14" s="137" t="s">
        <v>10</v>
      </c>
      <c r="M14" s="137"/>
      <c r="N14" s="137"/>
      <c r="O14" s="137"/>
      <c r="P14" s="137"/>
      <c r="Q14" s="4"/>
      <c r="R14" s="141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35">
      <c r="A15" s="133" t="s">
        <v>70</v>
      </c>
      <c r="B15" s="133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5"/>
      <c r="Q15" s="127"/>
      <c r="R15" s="136"/>
      <c r="S15" s="127"/>
      <c r="T15" s="127"/>
      <c r="U15" s="127"/>
      <c r="V15" s="127"/>
      <c r="W15" s="127"/>
      <c r="X15" s="127"/>
      <c r="Y15" s="127"/>
      <c r="Z15" s="127"/>
    </row>
    <row r="16" spans="1:26" ht="12.75" customHeight="1" outlineLevel="1" x14ac:dyDescent="0.35">
      <c r="A16" s="137" t="s">
        <v>176</v>
      </c>
      <c r="B16" s="138" t="s">
        <v>177</v>
      </c>
      <c r="C16" s="138" t="s">
        <v>178</v>
      </c>
      <c r="D16" s="139" t="s">
        <v>179</v>
      </c>
      <c r="E16" s="139" t="s">
        <v>180</v>
      </c>
      <c r="F16" s="137" t="s">
        <v>10</v>
      </c>
      <c r="G16" s="137"/>
      <c r="H16" s="137"/>
      <c r="I16" s="137" t="s">
        <v>10</v>
      </c>
      <c r="J16" s="137"/>
      <c r="K16" s="137"/>
      <c r="L16" s="137" t="s">
        <v>10</v>
      </c>
      <c r="M16" s="137"/>
      <c r="N16" s="137"/>
      <c r="O16" s="137"/>
      <c r="P16" s="137"/>
      <c r="Q16" s="4"/>
      <c r="R16" s="141"/>
      <c r="S16" s="4"/>
      <c r="T16" s="4"/>
      <c r="U16" s="4"/>
      <c r="V16" s="4"/>
      <c r="W16" s="4"/>
      <c r="X16" s="4"/>
      <c r="Y16" s="4"/>
      <c r="Z16" s="4"/>
    </row>
    <row r="17" spans="1:26" ht="12.75" customHeight="1" outlineLevel="1" x14ac:dyDescent="0.35">
      <c r="A17" s="137" t="s">
        <v>181</v>
      </c>
      <c r="B17" s="137" t="s">
        <v>182</v>
      </c>
      <c r="C17" s="137" t="s">
        <v>183</v>
      </c>
      <c r="D17" s="139" t="s">
        <v>184</v>
      </c>
      <c r="E17" s="139" t="s">
        <v>185</v>
      </c>
      <c r="F17" s="137" t="s">
        <v>10</v>
      </c>
      <c r="G17" s="137"/>
      <c r="H17" s="137"/>
      <c r="I17" s="137" t="s">
        <v>10</v>
      </c>
      <c r="J17" s="137"/>
      <c r="K17" s="137"/>
      <c r="L17" s="137" t="s">
        <v>10</v>
      </c>
      <c r="M17" s="137"/>
      <c r="N17" s="137"/>
      <c r="O17" s="137"/>
      <c r="P17" s="137"/>
      <c r="Q17" s="4"/>
      <c r="R17" s="123"/>
      <c r="S17" s="4"/>
      <c r="T17" s="4"/>
      <c r="U17" s="4"/>
      <c r="V17" s="4"/>
      <c r="W17" s="4"/>
      <c r="X17" s="4"/>
      <c r="Y17" s="4"/>
      <c r="Z17" s="4"/>
    </row>
    <row r="18" spans="1:26" ht="12.75" customHeight="1" outlineLevel="1" x14ac:dyDescent="0.35">
      <c r="A18" s="137" t="s">
        <v>186</v>
      </c>
      <c r="B18" s="137" t="s">
        <v>187</v>
      </c>
      <c r="C18" s="137" t="s">
        <v>188</v>
      </c>
      <c r="D18" s="139" t="s">
        <v>189</v>
      </c>
      <c r="E18" s="139" t="s">
        <v>190</v>
      </c>
      <c r="F18" s="137" t="s">
        <v>10</v>
      </c>
      <c r="G18" s="137"/>
      <c r="H18" s="137"/>
      <c r="I18" s="137" t="s">
        <v>18</v>
      </c>
      <c r="J18" s="137"/>
      <c r="K18" s="137"/>
      <c r="L18" s="137" t="s">
        <v>10</v>
      </c>
      <c r="M18" s="137"/>
      <c r="N18" s="137"/>
      <c r="O18" s="137"/>
      <c r="P18" s="137"/>
      <c r="Q18" s="4"/>
      <c r="R18" s="123"/>
      <c r="S18" s="4"/>
      <c r="T18" s="4"/>
      <c r="U18" s="4"/>
      <c r="V18" s="4"/>
      <c r="W18" s="4"/>
      <c r="X18" s="4"/>
      <c r="Y18" s="4"/>
      <c r="Z18" s="4"/>
    </row>
    <row r="19" spans="1:26" ht="12.75" customHeight="1" outlineLevel="1" x14ac:dyDescent="0.35">
      <c r="A19" s="137" t="s">
        <v>191</v>
      </c>
      <c r="B19" s="137" t="s">
        <v>192</v>
      </c>
      <c r="C19" s="137" t="s">
        <v>193</v>
      </c>
      <c r="D19" s="139" t="s">
        <v>194</v>
      </c>
      <c r="E19" s="139" t="s">
        <v>195</v>
      </c>
      <c r="F19" s="137" t="s">
        <v>10</v>
      </c>
      <c r="G19" s="137"/>
      <c r="H19" s="137"/>
      <c r="I19" s="137" t="s">
        <v>10</v>
      </c>
      <c r="J19" s="137"/>
      <c r="K19" s="137"/>
      <c r="L19" s="137" t="s">
        <v>10</v>
      </c>
      <c r="M19" s="137"/>
      <c r="N19" s="137"/>
      <c r="O19" s="137"/>
      <c r="P19" s="137"/>
      <c r="Q19" s="4"/>
      <c r="R19" s="123"/>
      <c r="S19" s="4"/>
      <c r="T19" s="4"/>
      <c r="U19" s="4"/>
      <c r="V19" s="4"/>
      <c r="W19" s="4"/>
      <c r="X19" s="4"/>
      <c r="Y19" s="4"/>
      <c r="Z19" s="4"/>
    </row>
    <row r="20" spans="1:26" ht="12.75" customHeight="1" outlineLevel="1" x14ac:dyDescent="0.35">
      <c r="A20" s="137" t="s">
        <v>196</v>
      </c>
      <c r="B20" s="137" t="s">
        <v>197</v>
      </c>
      <c r="C20" s="137" t="s">
        <v>198</v>
      </c>
      <c r="D20" s="139" t="s">
        <v>199</v>
      </c>
      <c r="E20" s="139" t="s">
        <v>200</v>
      </c>
      <c r="F20" s="137" t="s">
        <v>10</v>
      </c>
      <c r="G20" s="137"/>
      <c r="H20" s="137"/>
      <c r="I20" s="137" t="s">
        <v>10</v>
      </c>
      <c r="J20" s="137"/>
      <c r="K20" s="137"/>
      <c r="L20" s="137" t="s">
        <v>10</v>
      </c>
      <c r="M20" s="137"/>
      <c r="N20" s="137"/>
      <c r="O20" s="137"/>
      <c r="P20" s="137"/>
      <c r="Q20" s="4"/>
      <c r="R20" s="123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5">
      <c r="A21" s="133" t="s">
        <v>76</v>
      </c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5"/>
      <c r="Q21" s="127"/>
      <c r="R21" s="136"/>
      <c r="S21" s="127"/>
      <c r="T21" s="127"/>
      <c r="U21" s="127"/>
      <c r="V21" s="127"/>
      <c r="W21" s="127"/>
      <c r="X21" s="127"/>
      <c r="Y21" s="127"/>
      <c r="Z21" s="127"/>
    </row>
    <row r="22" spans="1:26" ht="12.75" customHeight="1" outlineLevel="1" x14ac:dyDescent="0.35">
      <c r="A22" s="146" t="s">
        <v>201</v>
      </c>
      <c r="B22" s="147" t="s">
        <v>202</v>
      </c>
      <c r="C22" s="148" t="s">
        <v>203</v>
      </c>
      <c r="D22" s="148" t="s">
        <v>204</v>
      </c>
      <c r="E22" s="148" t="s">
        <v>185</v>
      </c>
      <c r="F22" s="148" t="s">
        <v>10</v>
      </c>
      <c r="G22" s="148"/>
      <c r="H22" s="148"/>
      <c r="I22" s="148" t="s">
        <v>23</v>
      </c>
      <c r="J22" s="148"/>
      <c r="K22" s="148"/>
      <c r="L22" s="148" t="s">
        <v>23</v>
      </c>
      <c r="M22" s="148"/>
      <c r="N22" s="148"/>
      <c r="O22" s="148"/>
      <c r="P22" s="149"/>
      <c r="Q22" s="4"/>
      <c r="R22" s="141"/>
      <c r="S22" s="4"/>
      <c r="T22" s="4"/>
      <c r="U22" s="4"/>
      <c r="V22" s="4"/>
      <c r="W22" s="4"/>
      <c r="X22" s="4"/>
      <c r="Y22" s="4"/>
      <c r="Z22" s="4"/>
    </row>
    <row r="23" spans="1:26" ht="12.75" customHeight="1" outlineLevel="1" x14ac:dyDescent="0.35">
      <c r="A23" s="146" t="s">
        <v>205</v>
      </c>
      <c r="B23" s="147" t="s">
        <v>206</v>
      </c>
      <c r="C23" s="148" t="s">
        <v>207</v>
      </c>
      <c r="D23" s="148" t="s">
        <v>208</v>
      </c>
      <c r="E23" s="148" t="s">
        <v>209</v>
      </c>
      <c r="F23" s="137" t="s">
        <v>10</v>
      </c>
      <c r="G23" s="137"/>
      <c r="H23" s="137"/>
      <c r="I23" s="137" t="s">
        <v>10</v>
      </c>
      <c r="J23" s="137"/>
      <c r="K23" s="137"/>
      <c r="L23" s="137" t="s">
        <v>10</v>
      </c>
      <c r="M23" s="148"/>
      <c r="N23" s="148"/>
      <c r="O23" s="148"/>
      <c r="P23" s="149"/>
      <c r="Q23" s="4"/>
      <c r="R23" s="141"/>
      <c r="S23" s="4"/>
      <c r="T23" s="4"/>
      <c r="U23" s="4"/>
      <c r="V23" s="4"/>
      <c r="W23" s="4"/>
      <c r="X23" s="4"/>
      <c r="Y23" s="4"/>
      <c r="Z23" s="4"/>
    </row>
    <row r="24" spans="1:26" ht="12.75" customHeight="1" outlineLevel="1" x14ac:dyDescent="0.35">
      <c r="A24" s="146" t="s">
        <v>210</v>
      </c>
      <c r="B24" s="147" t="s">
        <v>211</v>
      </c>
      <c r="C24" s="148" t="s">
        <v>212</v>
      </c>
      <c r="D24" s="148" t="s">
        <v>213</v>
      </c>
      <c r="E24" s="148" t="s">
        <v>214</v>
      </c>
      <c r="F24" s="137" t="s">
        <v>10</v>
      </c>
      <c r="G24" s="137"/>
      <c r="H24" s="137"/>
      <c r="I24" s="137" t="s">
        <v>10</v>
      </c>
      <c r="J24" s="137"/>
      <c r="K24" s="137"/>
      <c r="L24" s="137" t="s">
        <v>10</v>
      </c>
      <c r="M24" s="148"/>
      <c r="N24" s="148"/>
      <c r="O24" s="148"/>
      <c r="P24" s="149"/>
      <c r="Q24" s="4"/>
      <c r="R24" s="141"/>
      <c r="S24" s="4"/>
      <c r="T24" s="4"/>
      <c r="U24" s="4"/>
      <c r="V24" s="4"/>
      <c r="W24" s="4"/>
      <c r="X24" s="4"/>
      <c r="Y24" s="4"/>
      <c r="Z24" s="4"/>
    </row>
    <row r="25" spans="1:26" ht="12.75" customHeight="1" outlineLevel="1" x14ac:dyDescent="0.35">
      <c r="A25" s="146" t="s">
        <v>215</v>
      </c>
      <c r="B25" s="147" t="s">
        <v>216</v>
      </c>
      <c r="C25" s="148" t="s">
        <v>217</v>
      </c>
      <c r="D25" s="148" t="s">
        <v>218</v>
      </c>
      <c r="E25" s="148" t="s">
        <v>219</v>
      </c>
      <c r="F25" s="137" t="s">
        <v>10</v>
      </c>
      <c r="G25" s="137"/>
      <c r="H25" s="137"/>
      <c r="I25" s="137" t="s">
        <v>10</v>
      </c>
      <c r="J25" s="137"/>
      <c r="K25" s="137"/>
      <c r="L25" s="137" t="s">
        <v>10</v>
      </c>
      <c r="M25" s="148"/>
      <c r="N25" s="148"/>
      <c r="O25" s="148"/>
      <c r="P25" s="149"/>
      <c r="Q25" s="4"/>
      <c r="R25" s="141"/>
      <c r="S25" s="4"/>
      <c r="T25" s="4"/>
      <c r="U25" s="4"/>
      <c r="V25" s="4"/>
      <c r="W25" s="4"/>
      <c r="X25" s="4"/>
      <c r="Y25" s="4"/>
      <c r="Z25" s="4"/>
    </row>
    <row r="26" spans="1:26" ht="12.75" customHeight="1" outlineLevel="1" x14ac:dyDescent="0.35">
      <c r="A26" s="146" t="s">
        <v>220</v>
      </c>
      <c r="B26" s="147" t="s">
        <v>221</v>
      </c>
      <c r="C26" s="148" t="s">
        <v>222</v>
      </c>
      <c r="D26" s="148" t="s">
        <v>223</v>
      </c>
      <c r="E26" s="148" t="s">
        <v>219</v>
      </c>
      <c r="F26" s="137" t="s">
        <v>18</v>
      </c>
      <c r="G26" s="137"/>
      <c r="H26" s="137"/>
      <c r="I26" s="137" t="s">
        <v>18</v>
      </c>
      <c r="J26" s="137"/>
      <c r="K26" s="137"/>
      <c r="L26" s="137" t="s">
        <v>10</v>
      </c>
      <c r="M26" s="148"/>
      <c r="N26" s="148"/>
      <c r="O26" s="148"/>
      <c r="P26" s="149"/>
      <c r="Q26" s="4"/>
      <c r="R26" s="141"/>
      <c r="S26" s="4"/>
      <c r="T26" s="4"/>
      <c r="U26" s="4"/>
      <c r="V26" s="4"/>
      <c r="W26" s="4"/>
      <c r="X26" s="4"/>
      <c r="Y26" s="4"/>
      <c r="Z26" s="4"/>
    </row>
    <row r="27" spans="1:26" ht="12.75" customHeight="1" outlineLevel="1" x14ac:dyDescent="0.35">
      <c r="A27" s="146" t="s">
        <v>224</v>
      </c>
      <c r="B27" s="147" t="s">
        <v>225</v>
      </c>
      <c r="C27" s="148" t="s">
        <v>226</v>
      </c>
      <c r="D27" s="148" t="s">
        <v>227</v>
      </c>
      <c r="E27" s="148" t="s">
        <v>219</v>
      </c>
      <c r="F27" s="137" t="s">
        <v>10</v>
      </c>
      <c r="G27" s="137"/>
      <c r="H27" s="137"/>
      <c r="I27" s="137" t="s">
        <v>10</v>
      </c>
      <c r="J27" s="137"/>
      <c r="K27" s="137"/>
      <c r="L27" s="137" t="s">
        <v>10</v>
      </c>
      <c r="M27" s="148"/>
      <c r="N27" s="148"/>
      <c r="O27" s="148"/>
      <c r="P27" s="149"/>
      <c r="Q27" s="4"/>
      <c r="R27" s="141"/>
      <c r="S27" s="4"/>
      <c r="T27" s="4"/>
      <c r="U27" s="4"/>
      <c r="V27" s="4"/>
      <c r="W27" s="4"/>
      <c r="X27" s="4"/>
      <c r="Y27" s="4"/>
      <c r="Z27" s="4"/>
    </row>
    <row r="28" spans="1:26" ht="12.75" customHeight="1" outlineLevel="1" x14ac:dyDescent="0.35">
      <c r="A28" s="146" t="s">
        <v>228</v>
      </c>
      <c r="B28" s="147" t="s">
        <v>229</v>
      </c>
      <c r="C28" s="148" t="s">
        <v>230</v>
      </c>
      <c r="D28" s="148" t="s">
        <v>231</v>
      </c>
      <c r="E28" s="148" t="s">
        <v>232</v>
      </c>
      <c r="F28" s="137" t="s">
        <v>10</v>
      </c>
      <c r="G28" s="137"/>
      <c r="H28" s="137"/>
      <c r="I28" s="137" t="s">
        <v>10</v>
      </c>
      <c r="J28" s="137"/>
      <c r="K28" s="137"/>
      <c r="L28" s="137" t="s">
        <v>10</v>
      </c>
      <c r="M28" s="148"/>
      <c r="N28" s="148"/>
      <c r="O28" s="148"/>
      <c r="P28" s="149"/>
      <c r="Q28" s="4"/>
      <c r="R28" s="141"/>
      <c r="S28" s="4"/>
      <c r="T28" s="4"/>
      <c r="U28" s="4"/>
      <c r="V28" s="4"/>
      <c r="W28" s="4"/>
      <c r="X28" s="4"/>
      <c r="Y28" s="4"/>
      <c r="Z28" s="4"/>
    </row>
    <row r="29" spans="1:26" ht="12.75" customHeight="1" outlineLevel="1" x14ac:dyDescent="0.35">
      <c r="A29" s="146" t="s">
        <v>233</v>
      </c>
      <c r="B29" s="147" t="s">
        <v>234</v>
      </c>
      <c r="C29" s="148" t="s">
        <v>235</v>
      </c>
      <c r="D29" s="148" t="s">
        <v>236</v>
      </c>
      <c r="E29" s="148" t="s">
        <v>237</v>
      </c>
      <c r="F29" s="137" t="s">
        <v>10</v>
      </c>
      <c r="G29" s="137"/>
      <c r="H29" s="137"/>
      <c r="I29" s="137" t="s">
        <v>10</v>
      </c>
      <c r="J29" s="137"/>
      <c r="K29" s="137"/>
      <c r="L29" s="137" t="s">
        <v>10</v>
      </c>
      <c r="M29" s="148"/>
      <c r="N29" s="148"/>
      <c r="O29" s="148"/>
      <c r="P29" s="149"/>
      <c r="Q29" s="4"/>
      <c r="R29" s="141"/>
      <c r="S29" s="4"/>
      <c r="T29" s="4"/>
      <c r="U29" s="4"/>
      <c r="V29" s="4"/>
      <c r="W29" s="4"/>
      <c r="X29" s="4"/>
      <c r="Y29" s="4"/>
      <c r="Z29" s="4"/>
    </row>
    <row r="30" spans="1:26" ht="12.75" customHeight="1" outlineLevel="1" x14ac:dyDescent="0.35">
      <c r="A30" s="146" t="s">
        <v>238</v>
      </c>
      <c r="B30" s="147" t="s">
        <v>239</v>
      </c>
      <c r="C30" s="148" t="s">
        <v>240</v>
      </c>
      <c r="D30" s="148" t="s">
        <v>241</v>
      </c>
      <c r="E30" s="148" t="s">
        <v>242</v>
      </c>
      <c r="F30" s="137" t="s">
        <v>10</v>
      </c>
      <c r="G30" s="137"/>
      <c r="H30" s="137"/>
      <c r="I30" s="137" t="s">
        <v>10</v>
      </c>
      <c r="J30" s="137"/>
      <c r="K30" s="137"/>
      <c r="L30" s="137" t="s">
        <v>10</v>
      </c>
      <c r="M30" s="148"/>
      <c r="N30" s="148"/>
      <c r="O30" s="148"/>
      <c r="P30" s="149"/>
      <c r="Q30" s="4"/>
      <c r="R30" s="141"/>
      <c r="S30" s="4"/>
      <c r="T30" s="4"/>
      <c r="U30" s="4"/>
      <c r="V30" s="4"/>
      <c r="W30" s="4"/>
      <c r="X30" s="4"/>
      <c r="Y30" s="4"/>
      <c r="Z30" s="4"/>
    </row>
    <row r="31" spans="1:26" ht="12.75" customHeight="1" outlineLevel="1" x14ac:dyDescent="0.35">
      <c r="A31" s="137" t="s">
        <v>243</v>
      </c>
      <c r="B31" s="137" t="s">
        <v>244</v>
      </c>
      <c r="C31" s="137" t="s">
        <v>245</v>
      </c>
      <c r="D31" s="137" t="s">
        <v>246</v>
      </c>
      <c r="E31" s="137" t="s">
        <v>247</v>
      </c>
      <c r="F31" s="137" t="s">
        <v>10</v>
      </c>
      <c r="G31" s="137"/>
      <c r="H31" s="137"/>
      <c r="I31" s="137" t="s">
        <v>10</v>
      </c>
      <c r="J31" s="137"/>
      <c r="K31" s="137"/>
      <c r="L31" s="137" t="s">
        <v>10</v>
      </c>
      <c r="M31" s="137"/>
      <c r="N31" s="137"/>
      <c r="O31" s="137"/>
      <c r="P31" s="137"/>
      <c r="Q31" s="4"/>
      <c r="R31" s="141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123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123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23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123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23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123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123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123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123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123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123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23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23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23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123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123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123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123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123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123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123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123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123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123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123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123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123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123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123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123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123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123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123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123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123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23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123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123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123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123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123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123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123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123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123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123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123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123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123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123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123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123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123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123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123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123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123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123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123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123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123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123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123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123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123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123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23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123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123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123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123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123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23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23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123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123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123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23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123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123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123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23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123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23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123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123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123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123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23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123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123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23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123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123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123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123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123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123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123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123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123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123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123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123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123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123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123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123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123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123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123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123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123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123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123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123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123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123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123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123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123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123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123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123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123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123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123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123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123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123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123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123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123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123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123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123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123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123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123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123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123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123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123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123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123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123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123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123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123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123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123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123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123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123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123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123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123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123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123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123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123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123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123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123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123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123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123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123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123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123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123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123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123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123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123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123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123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123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123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123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123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123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123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123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123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123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123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123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123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123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123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123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123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123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123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123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123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123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123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123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123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123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123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123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123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123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123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123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123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123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123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123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123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123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123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123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123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123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123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123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123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123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123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123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123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123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123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123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123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123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123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123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123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123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123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123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123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123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123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123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123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123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123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123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123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123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123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123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123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123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123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123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123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123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123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123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123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123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123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123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123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123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123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123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123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123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123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123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123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123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123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123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123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123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123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123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123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123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123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123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123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123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123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123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123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123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123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123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123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123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123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123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123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123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123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123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123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123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123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123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123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123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123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123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123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123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123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123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123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123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123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123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123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123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123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123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123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123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123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123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123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123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123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123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123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123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123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123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123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123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123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123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123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123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123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123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123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123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123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123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123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123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123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123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123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123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123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123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123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123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123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123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123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123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123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123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123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123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123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123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123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123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123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123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123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123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123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123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123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123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123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123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123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123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123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123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123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123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123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123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123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123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123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123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123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123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123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123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123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123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123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123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123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123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123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123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123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123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123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123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123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123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123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123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123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123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123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123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123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123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123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123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123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123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123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123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123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123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123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123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123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123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123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123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123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123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123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123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123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123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123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123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123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123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123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123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123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123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123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123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123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123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123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123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123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123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123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123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123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123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123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123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123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123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123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123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123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123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123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123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123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123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123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123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123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123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123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123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123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123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123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123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123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123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123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123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123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123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123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123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123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123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123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123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123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123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123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123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123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123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123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123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123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123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123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123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123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123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123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123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123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123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123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123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123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123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123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123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123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123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123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123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123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123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123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123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123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123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123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123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123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123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123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123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123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123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123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123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123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123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123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123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123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123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123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123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123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123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123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123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123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123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123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123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123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123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123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123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123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123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123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123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123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123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123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123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123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123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123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123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123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123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123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123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123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123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123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123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123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123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123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123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123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123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123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123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123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123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123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123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123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123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123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123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123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123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123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123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123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123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123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123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123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123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123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123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123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123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123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123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123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123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123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123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123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123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123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123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123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123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123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123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123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123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123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123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123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123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123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123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123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123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123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123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123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123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123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123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123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123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123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123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123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123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123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123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123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123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123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123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123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123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123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123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123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123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123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123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123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123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123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123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123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123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123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123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123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123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123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123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123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123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123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123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123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123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123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123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123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123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123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123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123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123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123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123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123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123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123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123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123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123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123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123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123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123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123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123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123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123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123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123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123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123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123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123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123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123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123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123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123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123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123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123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123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123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123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123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123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123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123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123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123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123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123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123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123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123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123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123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123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123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123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123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123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123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123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123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123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123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123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123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123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123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123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123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123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123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123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123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123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123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123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123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123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123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123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123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123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123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123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123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123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123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123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123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123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123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123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123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123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123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123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123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123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123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123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123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123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123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123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123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123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123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123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123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123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123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123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123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123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123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123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123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123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123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123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123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123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123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123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123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123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123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123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123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123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123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123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123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123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123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123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123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123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123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123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123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123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123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123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123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123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123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123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123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123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123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123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123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123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123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123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123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123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123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123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123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123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123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123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123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123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123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123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123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123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123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123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123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123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123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123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123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123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123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123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123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123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123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123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123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123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123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123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123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123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123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123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123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123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123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123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123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123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123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123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123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123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123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123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123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123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123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123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123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123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123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123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123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123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123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123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123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123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123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123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123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123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123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123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123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123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123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123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123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123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123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123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123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123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123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123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123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123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123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123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123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123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123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123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123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123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123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123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123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123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123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123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123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123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123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123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123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123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123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123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123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123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123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123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123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123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123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123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123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123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123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123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123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123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123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123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123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123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123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123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123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123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123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123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123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123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123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123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123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123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123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123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123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123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123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123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123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123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123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123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123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123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123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 x14ac:dyDescent="0.3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123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 x14ac:dyDescent="0.3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123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 x14ac:dyDescent="0.3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123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 x14ac:dyDescent="0.3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123"/>
      <c r="S1005" s="4"/>
      <c r="T1005" s="4"/>
      <c r="U1005" s="4"/>
      <c r="V1005" s="4"/>
      <c r="W1005" s="4"/>
      <c r="X1005" s="4"/>
      <c r="Y1005" s="4"/>
      <c r="Z1005" s="4"/>
    </row>
    <row r="1006" spans="1:26" ht="12.75" customHeight="1" x14ac:dyDescent="0.3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123"/>
      <c r="S1006" s="4"/>
      <c r="T1006" s="4"/>
      <c r="U1006" s="4"/>
      <c r="V1006" s="4"/>
      <c r="W1006" s="4"/>
      <c r="X1006" s="4"/>
      <c r="Y1006" s="4"/>
      <c r="Z1006" s="4"/>
    </row>
    <row r="1007" spans="1:26" ht="12.75" customHeight="1" x14ac:dyDescent="0.3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123"/>
      <c r="S1007" s="4"/>
      <c r="T1007" s="4"/>
      <c r="U1007" s="4"/>
      <c r="V1007" s="4"/>
      <c r="W1007" s="4"/>
      <c r="X1007" s="4"/>
      <c r="Y1007" s="4"/>
      <c r="Z1007" s="4"/>
    </row>
    <row r="1008" spans="1:26" ht="12.75" customHeight="1" x14ac:dyDescent="0.3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123"/>
      <c r="S1008" s="4"/>
      <c r="T1008" s="4"/>
      <c r="U1008" s="4"/>
      <c r="V1008" s="4"/>
      <c r="W1008" s="4"/>
      <c r="X1008" s="4"/>
      <c r="Y1008" s="4"/>
      <c r="Z1008" s="4"/>
    </row>
    <row r="1009" spans="1:26" ht="12.75" customHeight="1" x14ac:dyDescent="0.3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123"/>
      <c r="S1009" s="4"/>
      <c r="T1009" s="4"/>
      <c r="U1009" s="4"/>
      <c r="V1009" s="4"/>
      <c r="W1009" s="4"/>
      <c r="X1009" s="4"/>
      <c r="Y1009" s="4"/>
      <c r="Z1009" s="4"/>
    </row>
    <row r="1010" spans="1:26" ht="12.75" customHeight="1" x14ac:dyDescent="0.3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123"/>
      <c r="S1010" s="4"/>
      <c r="T1010" s="4"/>
      <c r="U1010" s="4"/>
      <c r="V1010" s="4"/>
      <c r="W1010" s="4"/>
      <c r="X1010" s="4"/>
      <c r="Y1010" s="4"/>
      <c r="Z1010" s="4"/>
    </row>
    <row r="1011" spans="1:26" ht="12.75" customHeight="1" x14ac:dyDescent="0.3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123"/>
      <c r="S1011" s="4"/>
      <c r="T1011" s="4"/>
      <c r="U1011" s="4"/>
      <c r="V1011" s="4"/>
      <c r="W1011" s="4"/>
      <c r="X1011" s="4"/>
      <c r="Y1011" s="4"/>
      <c r="Z1011" s="4"/>
    </row>
    <row r="1012" spans="1:26" ht="12.75" customHeight="1" x14ac:dyDescent="0.3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123"/>
      <c r="S1012" s="4"/>
      <c r="T1012" s="4"/>
      <c r="U1012" s="4"/>
      <c r="V1012" s="4"/>
      <c r="W1012" s="4"/>
      <c r="X1012" s="4"/>
      <c r="Y1012" s="4"/>
      <c r="Z1012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I12:I14 L12:L14 M32:M159 F12:F14 G32:G159 J32:J159 L16:L31 F16:F31 I16:I31" xr:uid="{00000000-0002-0000-0500-000000000000}">
      <formula1>$S$2:$S$5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pane ySplit="10" topLeftCell="A17" activePane="bottomLeft" state="frozen"/>
      <selection pane="bottomLeft" activeCell="F14" sqref="F14"/>
    </sheetView>
  </sheetViews>
  <sheetFormatPr defaultColWidth="12.59765625" defaultRowHeight="15" customHeight="1" outlineLevelRow="1" outlineLevelCol="1" x14ac:dyDescent="0.25"/>
  <cols>
    <col min="1" max="1" width="17" customWidth="1"/>
    <col min="2" max="2" width="34.46484375" customWidth="1"/>
    <col min="3" max="3" width="33.3984375" customWidth="1"/>
    <col min="4" max="4" width="34.59765625" customWidth="1"/>
    <col min="5" max="5" width="28.3984375" customWidth="1"/>
    <col min="6" max="6" width="9.3984375" customWidth="1" collapsed="1"/>
    <col min="7" max="7" width="10.59765625" hidden="1" customWidth="1" outlineLevel="1"/>
    <col min="8" max="8" width="7" hidden="1" customWidth="1" outlineLevel="1"/>
    <col min="9" max="9" width="9.3984375" customWidth="1" collapsed="1"/>
    <col min="10" max="10" width="10.59765625" hidden="1" customWidth="1" outlineLevel="1"/>
    <col min="11" max="11" width="7" hidden="1" customWidth="1" outlineLevel="1"/>
    <col min="12" max="12" width="9.3984375" customWidth="1" collapsed="1"/>
    <col min="13" max="13" width="10.59765625" hidden="1" customWidth="1" outlineLevel="1"/>
    <col min="14" max="14" width="7" hidden="1" customWidth="1" outlineLevel="1"/>
    <col min="15" max="15" width="16.59765625" customWidth="1"/>
    <col min="16" max="16" width="28.59765625" customWidth="1"/>
    <col min="17" max="17" width="10.1328125" customWidth="1"/>
    <col min="18" max="18" width="8.1328125" customWidth="1"/>
    <col min="19" max="19" width="7.59765625" hidden="1" customWidth="1"/>
    <col min="20" max="26" width="9" customWidth="1"/>
  </cols>
  <sheetData>
    <row r="1" spans="1:26" ht="12.75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123"/>
      <c r="S1" s="4"/>
      <c r="T1" s="4"/>
      <c r="U1" s="4"/>
      <c r="V1" s="4"/>
      <c r="W1" s="4"/>
      <c r="X1" s="4"/>
      <c r="Y1" s="4"/>
      <c r="Z1" s="4"/>
    </row>
    <row r="2" spans="1:26" ht="15" customHeight="1" x14ac:dyDescent="0.35">
      <c r="A2" s="9" t="s">
        <v>1</v>
      </c>
      <c r="B2" s="175" t="s">
        <v>248</v>
      </c>
      <c r="C2" s="176"/>
      <c r="D2" s="176"/>
      <c r="E2" s="177"/>
      <c r="F2" s="124"/>
      <c r="G2" s="125"/>
      <c r="H2" s="26"/>
      <c r="I2" s="124"/>
      <c r="J2" s="125"/>
      <c r="K2" s="26"/>
      <c r="L2" s="124"/>
      <c r="M2" s="125"/>
      <c r="N2" s="26"/>
      <c r="O2" s="26"/>
      <c r="P2" s="26"/>
      <c r="Q2" s="26"/>
      <c r="R2" s="126"/>
      <c r="S2" s="127" t="s">
        <v>10</v>
      </c>
      <c r="T2" s="127"/>
      <c r="U2" s="127"/>
      <c r="V2" s="127"/>
      <c r="W2" s="127"/>
      <c r="X2" s="127"/>
      <c r="Y2" s="127"/>
      <c r="Z2" s="127"/>
    </row>
    <row r="3" spans="1:26" ht="12.75" customHeight="1" x14ac:dyDescent="0.35">
      <c r="A3" s="27" t="s">
        <v>11</v>
      </c>
      <c r="B3" s="178"/>
      <c r="C3" s="161"/>
      <c r="D3" s="161"/>
      <c r="E3" s="179"/>
      <c r="F3" s="124"/>
      <c r="G3" s="125"/>
      <c r="H3" s="26"/>
      <c r="I3" s="124"/>
      <c r="J3" s="125"/>
      <c r="K3" s="26"/>
      <c r="L3" s="124"/>
      <c r="M3" s="125"/>
      <c r="N3" s="26"/>
      <c r="O3" s="26"/>
      <c r="P3" s="26"/>
      <c r="Q3" s="26"/>
      <c r="R3" s="126"/>
      <c r="S3" s="127" t="s">
        <v>18</v>
      </c>
      <c r="T3" s="127"/>
      <c r="U3" s="127"/>
      <c r="V3" s="127"/>
      <c r="W3" s="127"/>
      <c r="X3" s="127"/>
      <c r="Y3" s="127"/>
      <c r="Z3" s="127"/>
    </row>
    <row r="4" spans="1:26" ht="18" customHeight="1" x14ac:dyDescent="0.35">
      <c r="A4" s="27" t="s">
        <v>19</v>
      </c>
      <c r="B4" s="178">
        <f>COUNTA(A12:A998)</f>
        <v>16</v>
      </c>
      <c r="C4" s="161"/>
      <c r="D4" s="161"/>
      <c r="E4" s="179"/>
      <c r="F4" s="124"/>
      <c r="G4" s="125"/>
      <c r="H4" s="26"/>
      <c r="I4" s="124"/>
      <c r="J4" s="125"/>
      <c r="K4" s="26"/>
      <c r="L4" s="124"/>
      <c r="M4" s="125"/>
      <c r="N4" s="26"/>
      <c r="O4" s="26"/>
      <c r="P4" s="26"/>
      <c r="Q4" s="26"/>
      <c r="R4" s="126"/>
      <c r="S4" s="127" t="s">
        <v>23</v>
      </c>
      <c r="T4" s="127"/>
      <c r="U4" s="127"/>
      <c r="V4" s="127"/>
      <c r="W4" s="127"/>
      <c r="X4" s="127"/>
      <c r="Y4" s="127"/>
      <c r="Z4" s="127"/>
    </row>
    <row r="5" spans="1:26" ht="19.5" customHeight="1" x14ac:dyDescent="0.35">
      <c r="A5" s="39" t="s">
        <v>25</v>
      </c>
      <c r="B5" s="42" t="s">
        <v>10</v>
      </c>
      <c r="C5" s="42" t="s">
        <v>18</v>
      </c>
      <c r="D5" s="42" t="s">
        <v>23</v>
      </c>
      <c r="E5" s="45" t="s">
        <v>27</v>
      </c>
      <c r="F5" s="128"/>
      <c r="G5" s="128"/>
      <c r="H5" s="129"/>
      <c r="I5" s="128"/>
      <c r="J5" s="128"/>
      <c r="K5" s="129"/>
      <c r="L5" s="128"/>
      <c r="M5" s="128"/>
      <c r="N5" s="129"/>
      <c r="O5" s="129"/>
      <c r="P5" s="129"/>
      <c r="Q5" s="129"/>
      <c r="R5" s="130"/>
      <c r="S5" s="127" t="s">
        <v>27</v>
      </c>
      <c r="T5" s="127"/>
      <c r="U5" s="127"/>
      <c r="V5" s="127"/>
      <c r="W5" s="127"/>
      <c r="X5" s="127"/>
      <c r="Y5" s="127"/>
      <c r="Z5" s="127"/>
    </row>
    <row r="6" spans="1:26" ht="15" customHeight="1" x14ac:dyDescent="0.35">
      <c r="A6" s="39" t="s">
        <v>32</v>
      </c>
      <c r="B6" s="56">
        <f t="shared" ref="B6:E6" si="0">COUNTIF($F10:$F996,B5)</f>
        <v>9</v>
      </c>
      <c r="C6" s="56">
        <f t="shared" si="0"/>
        <v>5</v>
      </c>
      <c r="D6" s="56">
        <f t="shared" si="0"/>
        <v>0</v>
      </c>
      <c r="E6" s="60">
        <f t="shared" si="0"/>
        <v>0</v>
      </c>
      <c r="F6" s="131"/>
      <c r="G6" s="131"/>
      <c r="H6" s="129"/>
      <c r="I6" s="131"/>
      <c r="J6" s="131"/>
      <c r="K6" s="129"/>
      <c r="L6" s="131"/>
      <c r="M6" s="131"/>
      <c r="N6" s="129"/>
      <c r="O6" s="129"/>
      <c r="P6" s="129"/>
      <c r="Q6" s="129"/>
      <c r="R6" s="130"/>
      <c r="S6" s="127"/>
      <c r="T6" s="127"/>
      <c r="U6" s="127"/>
      <c r="V6" s="127"/>
      <c r="W6" s="127"/>
      <c r="X6" s="127"/>
      <c r="Y6" s="127"/>
      <c r="Z6" s="127"/>
    </row>
    <row r="7" spans="1:26" ht="15" customHeight="1" x14ac:dyDescent="0.35">
      <c r="A7" s="39" t="s">
        <v>40</v>
      </c>
      <c r="B7" s="56">
        <f t="shared" ref="B7:E7" si="1">COUNTIF($F10:$F996,B5)</f>
        <v>9</v>
      </c>
      <c r="C7" s="56">
        <f t="shared" si="1"/>
        <v>5</v>
      </c>
      <c r="D7" s="56">
        <f t="shared" si="1"/>
        <v>0</v>
      </c>
      <c r="E7" s="60">
        <f t="shared" si="1"/>
        <v>0</v>
      </c>
      <c r="F7" s="131"/>
      <c r="G7" s="131"/>
      <c r="H7" s="129"/>
      <c r="I7" s="131"/>
      <c r="J7" s="131"/>
      <c r="K7" s="129"/>
      <c r="L7" s="131"/>
      <c r="M7" s="131"/>
      <c r="N7" s="129"/>
      <c r="O7" s="129"/>
      <c r="P7" s="129"/>
      <c r="Q7" s="129"/>
      <c r="R7" s="130"/>
      <c r="S7" s="127"/>
      <c r="T7" s="127"/>
      <c r="U7" s="127"/>
      <c r="V7" s="127"/>
      <c r="W7" s="127"/>
      <c r="X7" s="127"/>
      <c r="Y7" s="127"/>
      <c r="Z7" s="127"/>
    </row>
    <row r="8" spans="1:26" ht="15" customHeight="1" x14ac:dyDescent="0.35">
      <c r="A8" s="73" t="s">
        <v>46</v>
      </c>
      <c r="B8" s="74">
        <f t="shared" ref="B8:E8" si="2">COUNTIF($F10:$F996,B5)</f>
        <v>9</v>
      </c>
      <c r="C8" s="74">
        <f t="shared" si="2"/>
        <v>5</v>
      </c>
      <c r="D8" s="74">
        <f t="shared" si="2"/>
        <v>0</v>
      </c>
      <c r="E8" s="78">
        <f t="shared" si="2"/>
        <v>0</v>
      </c>
      <c r="F8" s="131"/>
      <c r="G8" s="131"/>
      <c r="H8" s="129"/>
      <c r="I8" s="131"/>
      <c r="J8" s="131"/>
      <c r="K8" s="129"/>
      <c r="L8" s="131"/>
      <c r="M8" s="131"/>
      <c r="N8" s="129"/>
      <c r="O8" s="129"/>
      <c r="P8" s="129"/>
      <c r="Q8" s="129"/>
      <c r="R8" s="130"/>
      <c r="S8" s="127"/>
      <c r="T8" s="127"/>
      <c r="U8" s="127"/>
      <c r="V8" s="127"/>
      <c r="W8" s="127"/>
      <c r="X8" s="127"/>
      <c r="Y8" s="127"/>
      <c r="Z8" s="127"/>
    </row>
    <row r="9" spans="1:26" ht="15" customHeight="1" x14ac:dyDescent="0.35">
      <c r="A9" s="129"/>
      <c r="B9" s="129"/>
      <c r="C9" s="129"/>
      <c r="D9" s="129"/>
      <c r="E9" s="129"/>
      <c r="F9" s="122"/>
      <c r="G9" s="129"/>
      <c r="H9" s="129"/>
      <c r="I9" s="122"/>
      <c r="J9" s="129"/>
      <c r="K9" s="129"/>
      <c r="L9" s="122"/>
      <c r="M9" s="129"/>
      <c r="N9" s="129"/>
      <c r="O9" s="129"/>
      <c r="P9" s="129"/>
      <c r="Q9" s="129"/>
      <c r="R9" s="130"/>
      <c r="S9" s="127"/>
      <c r="T9" s="127"/>
      <c r="U9" s="127"/>
      <c r="V9" s="127"/>
      <c r="W9" s="127"/>
      <c r="X9" s="127"/>
      <c r="Y9" s="127"/>
      <c r="Z9" s="127"/>
    </row>
    <row r="10" spans="1:26" ht="25.5" customHeight="1" x14ac:dyDescent="0.35">
      <c r="A10" s="85" t="s">
        <v>58</v>
      </c>
      <c r="B10" s="85" t="s">
        <v>60</v>
      </c>
      <c r="C10" s="85" t="s">
        <v>61</v>
      </c>
      <c r="D10" s="85" t="s">
        <v>63</v>
      </c>
      <c r="E10" s="85" t="s">
        <v>64</v>
      </c>
      <c r="F10" s="85" t="s">
        <v>32</v>
      </c>
      <c r="G10" s="85" t="s">
        <v>65</v>
      </c>
      <c r="H10" s="85" t="s">
        <v>66</v>
      </c>
      <c r="I10" s="85" t="s">
        <v>40</v>
      </c>
      <c r="J10" s="85" t="s">
        <v>65</v>
      </c>
      <c r="K10" s="85" t="s">
        <v>66</v>
      </c>
      <c r="L10" s="85" t="s">
        <v>46</v>
      </c>
      <c r="M10" s="85" t="s">
        <v>65</v>
      </c>
      <c r="N10" s="85" t="s">
        <v>66</v>
      </c>
      <c r="O10" s="85" t="s">
        <v>67</v>
      </c>
      <c r="P10" s="85" t="s">
        <v>68</v>
      </c>
      <c r="Q10" s="127"/>
      <c r="R10" s="132"/>
      <c r="S10" s="127"/>
      <c r="T10" s="127"/>
      <c r="U10" s="127"/>
      <c r="V10" s="127"/>
      <c r="W10" s="127"/>
      <c r="X10" s="127"/>
      <c r="Y10" s="127"/>
      <c r="Z10" s="127"/>
    </row>
    <row r="11" spans="1:26" ht="15.75" customHeight="1" x14ac:dyDescent="0.35">
      <c r="A11" s="133" t="s">
        <v>249</v>
      </c>
      <c r="B11" s="133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5"/>
      <c r="Q11" s="127"/>
      <c r="R11" s="136"/>
      <c r="S11" s="127"/>
      <c r="T11" s="127"/>
      <c r="U11" s="127"/>
      <c r="V11" s="127"/>
      <c r="W11" s="127"/>
      <c r="X11" s="127"/>
      <c r="Y11" s="127"/>
      <c r="Z11" s="127"/>
    </row>
    <row r="12" spans="1:26" ht="120.75" customHeight="1" outlineLevel="1" x14ac:dyDescent="0.25">
      <c r="A12" s="137" t="s">
        <v>250</v>
      </c>
      <c r="B12" s="138" t="s">
        <v>251</v>
      </c>
      <c r="C12" s="138" t="s">
        <v>252</v>
      </c>
      <c r="D12" s="139" t="s">
        <v>253</v>
      </c>
      <c r="E12" s="139" t="s">
        <v>254</v>
      </c>
      <c r="F12" s="137" t="s">
        <v>10</v>
      </c>
      <c r="G12" s="137"/>
      <c r="H12" s="137"/>
      <c r="I12" s="137" t="s">
        <v>18</v>
      </c>
      <c r="J12" s="137"/>
      <c r="K12" s="137"/>
      <c r="L12" s="137" t="s">
        <v>10</v>
      </c>
      <c r="M12" s="137"/>
      <c r="N12" s="137"/>
      <c r="O12" s="137"/>
      <c r="P12" s="137"/>
      <c r="Q12" s="140"/>
      <c r="R12" s="141"/>
      <c r="S12" s="140"/>
      <c r="T12" s="140"/>
      <c r="U12" s="140"/>
      <c r="V12" s="140"/>
      <c r="W12" s="140"/>
      <c r="X12" s="140"/>
      <c r="Y12" s="140"/>
      <c r="Z12" s="140"/>
    </row>
    <row r="13" spans="1:26" ht="12.75" customHeight="1" outlineLevel="1" x14ac:dyDescent="0.35">
      <c r="A13" s="142" t="s">
        <v>255</v>
      </c>
      <c r="B13" s="142" t="s">
        <v>256</v>
      </c>
      <c r="C13" s="142" t="s">
        <v>257</v>
      </c>
      <c r="D13" s="139" t="s">
        <v>258</v>
      </c>
      <c r="E13" s="139" t="s">
        <v>259</v>
      </c>
      <c r="F13" s="137" t="s">
        <v>18</v>
      </c>
      <c r="G13" s="137"/>
      <c r="H13" s="137"/>
      <c r="I13" s="137" t="s">
        <v>18</v>
      </c>
      <c r="J13" s="137"/>
      <c r="K13" s="137"/>
      <c r="L13" s="137" t="s">
        <v>10</v>
      </c>
      <c r="M13" s="137"/>
      <c r="N13" s="137"/>
      <c r="O13" s="137"/>
      <c r="P13" s="137"/>
      <c r="Q13" s="4"/>
      <c r="R13" s="141"/>
      <c r="S13" s="4"/>
      <c r="T13" s="4"/>
      <c r="U13" s="4"/>
      <c r="V13" s="4"/>
      <c r="W13" s="4"/>
      <c r="X13" s="4"/>
      <c r="Y13" s="4"/>
      <c r="Z13" s="4"/>
    </row>
    <row r="14" spans="1:26" ht="12.75" customHeight="1" outlineLevel="1" x14ac:dyDescent="0.35">
      <c r="A14" s="137" t="s">
        <v>260</v>
      </c>
      <c r="B14" s="137" t="s">
        <v>261</v>
      </c>
      <c r="C14" s="137" t="s">
        <v>262</v>
      </c>
      <c r="D14" s="139" t="s">
        <v>263</v>
      </c>
      <c r="E14" s="139" t="s">
        <v>264</v>
      </c>
      <c r="F14" s="137" t="s">
        <v>18</v>
      </c>
      <c r="G14" s="137"/>
      <c r="H14" s="137"/>
      <c r="I14" s="137" t="s">
        <v>10</v>
      </c>
      <c r="J14" s="137"/>
      <c r="K14" s="137"/>
      <c r="L14" s="137" t="s">
        <v>10</v>
      </c>
      <c r="M14" s="137"/>
      <c r="N14" s="137"/>
      <c r="O14" s="137"/>
      <c r="P14" s="137"/>
      <c r="Q14" s="4"/>
      <c r="R14" s="141"/>
      <c r="S14" s="4"/>
      <c r="T14" s="4"/>
      <c r="U14" s="4"/>
      <c r="V14" s="4"/>
      <c r="W14" s="4"/>
      <c r="X14" s="4"/>
      <c r="Y14" s="4"/>
      <c r="Z14" s="4"/>
    </row>
    <row r="15" spans="1:26" ht="12.75" customHeight="1" outlineLevel="1" x14ac:dyDescent="0.35">
      <c r="A15" s="137" t="s">
        <v>265</v>
      </c>
      <c r="B15" s="137" t="s">
        <v>266</v>
      </c>
      <c r="C15" s="137" t="s">
        <v>267</v>
      </c>
      <c r="D15" s="139" t="s">
        <v>268</v>
      </c>
      <c r="E15" s="139" t="s">
        <v>264</v>
      </c>
      <c r="F15" s="137" t="s">
        <v>18</v>
      </c>
      <c r="G15" s="137"/>
      <c r="H15" s="137"/>
      <c r="I15" s="137" t="s">
        <v>10</v>
      </c>
      <c r="J15" s="137"/>
      <c r="K15" s="137"/>
      <c r="L15" s="137" t="s">
        <v>10</v>
      </c>
      <c r="M15" s="137"/>
      <c r="N15" s="137"/>
      <c r="O15" s="137"/>
      <c r="P15" s="137"/>
      <c r="Q15" s="4"/>
      <c r="R15" s="141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35">
      <c r="A16" s="133" t="s">
        <v>269</v>
      </c>
      <c r="B16" s="133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5"/>
      <c r="Q16" s="127"/>
      <c r="R16" s="136"/>
      <c r="S16" s="127"/>
      <c r="T16" s="127"/>
      <c r="U16" s="127"/>
      <c r="V16" s="127"/>
      <c r="W16" s="127"/>
      <c r="X16" s="127"/>
      <c r="Y16" s="127"/>
      <c r="Z16" s="127"/>
    </row>
    <row r="17" spans="1:26" ht="49.5" customHeight="1" outlineLevel="1" x14ac:dyDescent="0.25">
      <c r="A17" s="137" t="s">
        <v>270</v>
      </c>
      <c r="B17" s="138" t="s">
        <v>271</v>
      </c>
      <c r="C17" s="138" t="s">
        <v>272</v>
      </c>
      <c r="D17" s="139" t="s">
        <v>253</v>
      </c>
      <c r="E17" s="139" t="s">
        <v>273</v>
      </c>
      <c r="F17" s="137" t="s">
        <v>18</v>
      </c>
      <c r="G17" s="137"/>
      <c r="H17" s="137"/>
      <c r="I17" s="137" t="s">
        <v>18</v>
      </c>
      <c r="J17" s="137"/>
      <c r="K17" s="137"/>
      <c r="L17" s="137" t="s">
        <v>10</v>
      </c>
      <c r="M17" s="137"/>
      <c r="N17" s="137"/>
      <c r="O17" s="137"/>
      <c r="P17" s="137"/>
      <c r="Q17" s="140"/>
      <c r="R17" s="141"/>
      <c r="S17" s="140"/>
      <c r="T17" s="140"/>
      <c r="U17" s="140"/>
      <c r="V17" s="140"/>
      <c r="W17" s="140"/>
      <c r="X17" s="140"/>
      <c r="Y17" s="140"/>
      <c r="Z17" s="140"/>
    </row>
    <row r="18" spans="1:26" ht="12.75" customHeight="1" outlineLevel="1" x14ac:dyDescent="0.35">
      <c r="A18" s="142" t="s">
        <v>274</v>
      </c>
      <c r="B18" s="142" t="s">
        <v>275</v>
      </c>
      <c r="C18" s="142" t="s">
        <v>276</v>
      </c>
      <c r="D18" s="139" t="s">
        <v>277</v>
      </c>
      <c r="E18" s="139" t="s">
        <v>278</v>
      </c>
      <c r="F18" s="137" t="s">
        <v>10</v>
      </c>
      <c r="G18" s="137"/>
      <c r="H18" s="137"/>
      <c r="I18" s="137" t="s">
        <v>10</v>
      </c>
      <c r="J18" s="137"/>
      <c r="K18" s="137"/>
      <c r="L18" s="137" t="s">
        <v>10</v>
      </c>
      <c r="M18" s="137"/>
      <c r="N18" s="137"/>
      <c r="O18" s="137"/>
      <c r="P18" s="137"/>
      <c r="Q18" s="4"/>
      <c r="R18" s="141"/>
      <c r="S18" s="4"/>
      <c r="T18" s="4"/>
      <c r="U18" s="4"/>
      <c r="V18" s="4"/>
      <c r="W18" s="4"/>
      <c r="X18" s="4"/>
      <c r="Y18" s="4"/>
      <c r="Z18" s="4"/>
    </row>
    <row r="19" spans="1:26" ht="12.75" customHeight="1" outlineLevel="1" x14ac:dyDescent="0.35">
      <c r="A19" s="137" t="s">
        <v>279</v>
      </c>
      <c r="B19" s="137" t="s">
        <v>280</v>
      </c>
      <c r="C19" s="137" t="s">
        <v>281</v>
      </c>
      <c r="D19" s="139" t="s">
        <v>282</v>
      </c>
      <c r="E19" s="139" t="s">
        <v>278</v>
      </c>
      <c r="F19" s="137" t="s">
        <v>18</v>
      </c>
      <c r="G19" s="137"/>
      <c r="H19" s="137"/>
      <c r="I19" s="137" t="s">
        <v>18</v>
      </c>
      <c r="J19" s="137"/>
      <c r="K19" s="137"/>
      <c r="L19" s="137" t="s">
        <v>10</v>
      </c>
      <c r="M19" s="137"/>
      <c r="N19" s="137"/>
      <c r="O19" s="137"/>
      <c r="P19" s="137"/>
      <c r="Q19" s="4"/>
      <c r="R19" s="141"/>
      <c r="S19" s="4"/>
      <c r="T19" s="4"/>
      <c r="U19" s="4"/>
      <c r="V19" s="4"/>
      <c r="W19" s="4"/>
      <c r="X19" s="4"/>
      <c r="Y19" s="4"/>
      <c r="Z19" s="4"/>
    </row>
    <row r="20" spans="1:26" ht="12.75" customHeight="1" outlineLevel="1" x14ac:dyDescent="0.35">
      <c r="A20" s="137" t="s">
        <v>283</v>
      </c>
      <c r="B20" s="137" t="s">
        <v>284</v>
      </c>
      <c r="C20" s="137" t="s">
        <v>285</v>
      </c>
      <c r="D20" s="139" t="s">
        <v>286</v>
      </c>
      <c r="E20" s="139" t="s">
        <v>287</v>
      </c>
      <c r="F20" s="137" t="s">
        <v>10</v>
      </c>
      <c r="G20" s="137"/>
      <c r="H20" s="137"/>
      <c r="I20" s="137" t="s">
        <v>10</v>
      </c>
      <c r="J20" s="137"/>
      <c r="K20" s="137"/>
      <c r="L20" s="137" t="s">
        <v>10</v>
      </c>
      <c r="M20" s="137"/>
      <c r="N20" s="137"/>
      <c r="O20" s="137"/>
      <c r="P20" s="137"/>
      <c r="Q20" s="4"/>
      <c r="R20" s="141"/>
      <c r="S20" s="4"/>
      <c r="T20" s="4"/>
      <c r="U20" s="4"/>
      <c r="V20" s="4"/>
      <c r="W20" s="4"/>
      <c r="X20" s="4"/>
      <c r="Y20" s="4"/>
      <c r="Z20" s="4"/>
    </row>
    <row r="21" spans="1:26" ht="12.75" customHeight="1" outlineLevel="1" x14ac:dyDescent="0.35">
      <c r="A21" s="137" t="s">
        <v>288</v>
      </c>
      <c r="B21" s="137" t="s">
        <v>289</v>
      </c>
      <c r="C21" s="137" t="s">
        <v>290</v>
      </c>
      <c r="D21" s="139" t="s">
        <v>291</v>
      </c>
      <c r="E21" s="139" t="s">
        <v>292</v>
      </c>
      <c r="F21" s="137" t="s">
        <v>10</v>
      </c>
      <c r="G21" s="137"/>
      <c r="H21" s="137"/>
      <c r="I21" s="137" t="s">
        <v>18</v>
      </c>
      <c r="J21" s="137"/>
      <c r="K21" s="137"/>
      <c r="L21" s="137" t="s">
        <v>10</v>
      </c>
      <c r="M21" s="137"/>
      <c r="N21" s="137"/>
      <c r="O21" s="137"/>
      <c r="P21" s="137"/>
      <c r="Q21" s="4"/>
      <c r="R21" s="141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5">
      <c r="A22" s="133" t="s">
        <v>293</v>
      </c>
      <c r="B22" s="133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5"/>
      <c r="Q22" s="127"/>
      <c r="R22" s="136"/>
      <c r="S22" s="127"/>
      <c r="T22" s="127"/>
      <c r="U22" s="127"/>
      <c r="V22" s="127"/>
      <c r="W22" s="127"/>
      <c r="X22" s="127"/>
      <c r="Y22" s="127"/>
      <c r="Z22" s="127"/>
    </row>
    <row r="23" spans="1:26" ht="49.5" customHeight="1" outlineLevel="1" x14ac:dyDescent="0.25">
      <c r="A23" s="137" t="s">
        <v>294</v>
      </c>
      <c r="B23" s="138" t="s">
        <v>295</v>
      </c>
      <c r="C23" s="138" t="s">
        <v>296</v>
      </c>
      <c r="D23" s="139" t="s">
        <v>297</v>
      </c>
      <c r="E23" s="139" t="s">
        <v>298</v>
      </c>
      <c r="F23" s="137" t="s">
        <v>10</v>
      </c>
      <c r="G23" s="137"/>
      <c r="H23" s="137"/>
      <c r="I23" s="137" t="s">
        <v>10</v>
      </c>
      <c r="J23" s="137"/>
      <c r="K23" s="137"/>
      <c r="L23" s="137" t="s">
        <v>10</v>
      </c>
      <c r="M23" s="137"/>
      <c r="N23" s="137"/>
      <c r="O23" s="137"/>
      <c r="P23" s="137"/>
      <c r="Q23" s="140"/>
      <c r="R23" s="141"/>
      <c r="S23" s="140"/>
      <c r="T23" s="140"/>
      <c r="U23" s="140"/>
      <c r="V23" s="140"/>
      <c r="W23" s="140"/>
      <c r="X23" s="140"/>
      <c r="Y23" s="140"/>
      <c r="Z23" s="140"/>
    </row>
    <row r="24" spans="1:26" ht="12.75" customHeight="1" outlineLevel="1" x14ac:dyDescent="0.35">
      <c r="A24" s="142" t="s">
        <v>299</v>
      </c>
      <c r="B24" s="142" t="s">
        <v>300</v>
      </c>
      <c r="C24" s="142" t="s">
        <v>301</v>
      </c>
      <c r="D24" s="139" t="s">
        <v>302</v>
      </c>
      <c r="E24" s="139" t="s">
        <v>303</v>
      </c>
      <c r="F24" s="137" t="s">
        <v>10</v>
      </c>
      <c r="G24" s="137"/>
      <c r="H24" s="137"/>
      <c r="I24" s="137" t="s">
        <v>10</v>
      </c>
      <c r="J24" s="137"/>
      <c r="K24" s="137"/>
      <c r="L24" s="137" t="s">
        <v>10</v>
      </c>
      <c r="M24" s="137"/>
      <c r="N24" s="137"/>
      <c r="O24" s="137"/>
      <c r="P24" s="137"/>
      <c r="Q24" s="4"/>
      <c r="R24" s="141"/>
      <c r="S24" s="4"/>
      <c r="T24" s="4"/>
      <c r="U24" s="4"/>
      <c r="V24" s="4"/>
      <c r="W24" s="4"/>
      <c r="X24" s="4"/>
      <c r="Y24" s="4"/>
      <c r="Z24" s="4"/>
    </row>
    <row r="25" spans="1:26" ht="12.75" customHeight="1" outlineLevel="1" x14ac:dyDescent="0.35">
      <c r="A25" s="137" t="s">
        <v>304</v>
      </c>
      <c r="B25" s="137" t="s">
        <v>305</v>
      </c>
      <c r="C25" s="137" t="s">
        <v>306</v>
      </c>
      <c r="D25" s="139" t="s">
        <v>307</v>
      </c>
      <c r="E25" s="139" t="s">
        <v>308</v>
      </c>
      <c r="F25" s="137" t="s">
        <v>10</v>
      </c>
      <c r="G25" s="137"/>
      <c r="H25" s="137"/>
      <c r="I25" s="137" t="s">
        <v>10</v>
      </c>
      <c r="J25" s="137"/>
      <c r="K25" s="137"/>
      <c r="L25" s="137" t="s">
        <v>10</v>
      </c>
      <c r="M25" s="137"/>
      <c r="N25" s="137"/>
      <c r="O25" s="137"/>
      <c r="P25" s="137"/>
      <c r="Q25" s="4"/>
      <c r="R25" s="141"/>
      <c r="S25" s="4"/>
      <c r="T25" s="4"/>
      <c r="U25" s="4"/>
      <c r="V25" s="4"/>
      <c r="W25" s="4"/>
      <c r="X25" s="4"/>
      <c r="Y25" s="4"/>
      <c r="Z25" s="4"/>
    </row>
    <row r="26" spans="1:26" ht="12.75" customHeight="1" outlineLevel="1" x14ac:dyDescent="0.35">
      <c r="A26" s="137" t="s">
        <v>309</v>
      </c>
      <c r="B26" s="137" t="s">
        <v>310</v>
      </c>
      <c r="C26" s="137" t="s">
        <v>311</v>
      </c>
      <c r="D26" s="139" t="s">
        <v>312</v>
      </c>
      <c r="E26" s="139" t="s">
        <v>313</v>
      </c>
      <c r="F26" s="137" t="s">
        <v>10</v>
      </c>
      <c r="G26" s="137"/>
      <c r="H26" s="137"/>
      <c r="I26" s="137" t="s">
        <v>10</v>
      </c>
      <c r="J26" s="137"/>
      <c r="K26" s="137"/>
      <c r="L26" s="137" t="s">
        <v>10</v>
      </c>
      <c r="M26" s="137"/>
      <c r="N26" s="137"/>
      <c r="O26" s="137"/>
      <c r="P26" s="137"/>
      <c r="Q26" s="4"/>
      <c r="R26" s="141"/>
      <c r="S26" s="4"/>
      <c r="T26" s="4"/>
      <c r="U26" s="4"/>
      <c r="V26" s="4"/>
      <c r="W26" s="4"/>
      <c r="X26" s="4"/>
      <c r="Y26" s="4"/>
      <c r="Z26" s="4"/>
    </row>
    <row r="27" spans="1:26" ht="12.75" customHeight="1" outlineLevel="1" x14ac:dyDescent="0.35">
      <c r="A27" s="137" t="s">
        <v>314</v>
      </c>
      <c r="B27" s="137" t="s">
        <v>315</v>
      </c>
      <c r="C27" s="137" t="s">
        <v>316</v>
      </c>
      <c r="D27" s="139" t="s">
        <v>317</v>
      </c>
      <c r="E27" s="139" t="s">
        <v>318</v>
      </c>
      <c r="F27" s="137" t="s">
        <v>10</v>
      </c>
      <c r="G27" s="137"/>
      <c r="H27" s="137"/>
      <c r="I27" s="137" t="s">
        <v>10</v>
      </c>
      <c r="J27" s="137"/>
      <c r="K27" s="137"/>
      <c r="L27" s="137" t="s">
        <v>10</v>
      </c>
      <c r="M27" s="137"/>
      <c r="N27" s="137"/>
      <c r="O27" s="137"/>
      <c r="P27" s="137"/>
      <c r="Q27" s="4"/>
      <c r="R27" s="141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123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123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123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123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123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123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23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123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23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123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123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123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123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123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123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23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23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23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123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123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123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123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123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123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123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123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123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123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123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123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123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123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123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123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123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123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123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123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123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23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123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123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123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123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123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123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123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123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123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123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123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123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123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123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123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123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123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123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123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123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123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123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123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123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123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123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123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123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123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123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23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123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123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123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123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123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23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23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123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123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123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23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123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123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123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23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123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23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123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123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123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123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23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123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123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23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123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123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123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123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123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123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123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123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123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123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123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123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123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123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123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123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123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123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123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123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123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123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123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123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123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123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123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123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123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123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123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123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123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123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123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123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123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123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123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123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123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123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123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123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123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123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123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123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123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123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123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123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123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123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123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123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123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123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123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123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123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123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123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123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123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123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123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123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123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123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123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123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123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123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123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123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123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123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123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123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123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123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123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123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123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123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123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123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123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123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123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123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123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123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123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123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123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123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123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123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123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123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123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123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123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123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123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123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123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123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123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123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123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123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123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123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123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123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123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123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123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123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123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123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123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123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123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123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123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123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123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123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123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123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123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123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123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123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123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123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123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123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123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123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123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123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123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123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123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123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123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123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123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123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123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123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123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123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123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123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123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123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123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123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123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123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123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123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123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123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123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123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123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123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123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123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123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123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123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123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123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123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123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123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123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123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123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123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123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123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123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123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123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123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123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123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123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123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123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123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123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123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123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123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123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123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123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123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123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123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123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123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123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123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123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123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123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123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123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123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123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123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123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123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123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123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123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123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123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123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123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123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123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123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123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123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123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123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123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123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123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123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123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123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123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123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123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123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123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123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123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123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123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123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123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123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123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123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123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123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123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123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123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123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123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123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123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123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123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123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123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123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123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123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123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123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123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123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123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123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123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123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123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123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123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123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123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123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123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123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123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123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123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123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123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123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123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123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123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123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123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123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123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123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123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123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123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123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123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123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123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123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123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123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123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123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123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123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123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123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123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123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123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123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123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123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123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123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123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123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123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123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123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123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123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123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123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123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123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123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123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123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123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123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123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123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123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123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123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123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123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123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123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123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123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123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123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123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123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123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123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123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123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123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123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123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123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123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123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123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123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123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123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123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123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123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123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123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123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123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123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123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123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123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123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123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123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123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123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123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123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123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123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123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123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123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123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123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123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123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123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123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123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123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123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123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123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123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123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123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123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123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123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123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123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123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123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123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123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123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123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123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123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123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123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123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123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123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123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123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123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123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123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123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123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123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123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123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123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123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123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123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123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123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123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123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123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123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123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123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123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123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123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123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123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123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123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123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123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123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123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123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123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123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123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123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123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123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123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123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123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123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123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123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123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123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123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123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123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123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123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123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123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123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123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123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123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123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123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123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123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123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123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123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123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123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123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123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123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123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123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123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123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123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123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123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123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123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123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123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123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123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123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123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123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123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123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123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123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123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123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123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123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123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123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123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123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123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123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123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123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123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123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123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123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123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123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123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123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123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123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123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123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123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123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123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123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123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123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123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123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123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123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123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123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123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123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123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123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123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123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123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123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123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123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123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123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123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123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123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123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123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123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123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123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123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123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123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123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123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123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123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123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123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123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123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123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123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123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123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123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123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123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123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123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123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123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123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123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123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123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123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123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123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123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123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123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123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123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123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123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123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123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123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123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123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123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123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123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123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123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123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123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123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123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123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123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123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123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123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123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123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123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123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123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123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123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123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123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123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123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123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123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123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123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123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123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123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123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123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123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123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123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123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123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123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123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123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123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123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123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123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123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123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123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123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123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123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123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123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123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123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123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123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123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123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123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123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123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123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123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123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123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123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123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123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123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123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123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123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123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123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123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123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123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123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123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123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123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123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123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123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123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123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123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123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123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123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123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123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123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123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123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123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123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123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123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123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123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123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123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123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123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123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123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123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123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123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123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123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123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123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123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123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123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123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123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123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123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123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123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123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123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123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123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123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123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123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123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123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123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123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123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123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123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123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123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123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123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123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123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123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123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123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123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123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123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123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123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123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123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123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123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123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123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123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123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123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123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123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123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123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123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123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123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123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123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123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123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123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123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123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123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123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123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123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123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123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123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123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123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123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123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123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123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123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123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123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123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123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123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123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123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123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123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123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123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123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123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123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123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123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123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123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123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123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123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123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123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123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123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123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123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123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123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123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123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123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123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123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123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123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123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123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123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123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123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123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123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123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123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123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123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123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123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123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123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123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123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123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123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123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123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123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123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123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123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123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123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123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123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123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123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123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123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123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123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5 I12:I15 L12:L15 F17:F21 I17:I21 L17:L21 F23:F27 I23:I27 L23:L27 G28:G145 J28:J145 M28:M145" xr:uid="{00000000-0002-0000-0600-000000000000}">
      <formula1>$S$2:$S$5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1000"/>
  <sheetViews>
    <sheetView workbookViewId="0">
      <pane ySplit="10" topLeftCell="A29" activePane="bottomLeft" state="frozen"/>
      <selection pane="bottomLeft" activeCell="I32" sqref="I32"/>
    </sheetView>
  </sheetViews>
  <sheetFormatPr defaultColWidth="12.59765625" defaultRowHeight="15" customHeight="1" outlineLevelRow="1" outlineLevelCol="1" x14ac:dyDescent="0.25"/>
  <cols>
    <col min="1" max="1" width="17" customWidth="1"/>
    <col min="2" max="2" width="34.46484375" customWidth="1"/>
    <col min="3" max="3" width="33.3984375" customWidth="1"/>
    <col min="4" max="4" width="34.59765625" customWidth="1"/>
    <col min="5" max="5" width="28.3984375" customWidth="1"/>
    <col min="6" max="6" width="9.3984375" customWidth="1" collapsed="1"/>
    <col min="7" max="7" width="10.59765625" hidden="1" customWidth="1" outlineLevel="1"/>
    <col min="8" max="8" width="7" hidden="1" customWidth="1" outlineLevel="1"/>
    <col min="9" max="9" width="9.3984375" customWidth="1" collapsed="1"/>
    <col min="10" max="10" width="10.59765625" hidden="1" customWidth="1" outlineLevel="1"/>
    <col min="11" max="11" width="7" hidden="1" customWidth="1" outlineLevel="1"/>
    <col min="12" max="12" width="9.3984375" customWidth="1" collapsed="1"/>
    <col min="13" max="13" width="10.59765625" hidden="1" customWidth="1" outlineLevel="1"/>
    <col min="14" max="14" width="7" hidden="1" customWidth="1" outlineLevel="1"/>
    <col min="15" max="15" width="16.59765625" customWidth="1"/>
    <col min="16" max="16" width="28.59765625" customWidth="1"/>
  </cols>
  <sheetData>
    <row r="1" spans="1:16" ht="13.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9.5" customHeight="1" x14ac:dyDescent="0.35">
      <c r="A2" s="9" t="s">
        <v>1</v>
      </c>
      <c r="B2" s="175" t="s">
        <v>319</v>
      </c>
      <c r="C2" s="176"/>
      <c r="D2" s="176"/>
      <c r="E2" s="177"/>
      <c r="F2" s="124"/>
      <c r="G2" s="125"/>
      <c r="H2" s="26"/>
      <c r="I2" s="124"/>
      <c r="J2" s="125"/>
      <c r="K2" s="26"/>
      <c r="L2" s="124"/>
      <c r="M2" s="125"/>
      <c r="N2" s="26"/>
      <c r="O2" s="26"/>
      <c r="P2" s="26"/>
    </row>
    <row r="3" spans="1:16" ht="30" customHeight="1" x14ac:dyDescent="0.35">
      <c r="A3" s="27" t="s">
        <v>11</v>
      </c>
      <c r="B3" s="178" t="s">
        <v>320</v>
      </c>
      <c r="C3" s="161"/>
      <c r="D3" s="161"/>
      <c r="E3" s="179"/>
      <c r="F3" s="124"/>
      <c r="G3" s="125"/>
      <c r="H3" s="26"/>
      <c r="I3" s="124"/>
      <c r="J3" s="125"/>
      <c r="K3" s="26"/>
      <c r="L3" s="124"/>
      <c r="M3" s="125"/>
      <c r="N3" s="26"/>
      <c r="O3" s="26"/>
      <c r="P3" s="26"/>
    </row>
    <row r="4" spans="1:16" ht="18" customHeight="1" x14ac:dyDescent="0.35">
      <c r="A4" s="27" t="s">
        <v>19</v>
      </c>
      <c r="B4" s="178">
        <f>COUNTA(A12:A17,A19:A24,A26:A35)</f>
        <v>22</v>
      </c>
      <c r="C4" s="161"/>
      <c r="D4" s="161"/>
      <c r="E4" s="179"/>
      <c r="F4" s="124"/>
      <c r="G4" s="125"/>
      <c r="H4" s="26"/>
      <c r="I4" s="124"/>
      <c r="J4" s="125"/>
      <c r="K4" s="26"/>
      <c r="L4" s="124"/>
      <c r="M4" s="125"/>
      <c r="N4" s="26"/>
      <c r="O4" s="26"/>
      <c r="P4" s="26"/>
    </row>
    <row r="5" spans="1:16" ht="19.5" customHeight="1" x14ac:dyDescent="0.35">
      <c r="A5" s="39" t="s">
        <v>25</v>
      </c>
      <c r="B5" s="42" t="s">
        <v>10</v>
      </c>
      <c r="C5" s="42" t="s">
        <v>18</v>
      </c>
      <c r="D5" s="42" t="s">
        <v>23</v>
      </c>
      <c r="E5" s="45" t="s">
        <v>27</v>
      </c>
      <c r="F5" s="128"/>
      <c r="G5" s="128"/>
      <c r="H5" s="129"/>
      <c r="I5" s="128"/>
      <c r="J5" s="128"/>
      <c r="K5" s="129"/>
      <c r="L5" s="128"/>
      <c r="M5" s="128"/>
      <c r="N5" s="129"/>
      <c r="O5" s="129"/>
      <c r="P5" s="129"/>
    </row>
    <row r="6" spans="1:16" ht="15" customHeight="1" x14ac:dyDescent="0.35">
      <c r="A6" s="39" t="s">
        <v>32</v>
      </c>
      <c r="B6" s="56">
        <f t="shared" ref="B6:E6" si="0">COUNTIF($F$12:$F$35,B$5)</f>
        <v>20</v>
      </c>
      <c r="C6" s="56">
        <f t="shared" si="0"/>
        <v>1</v>
      </c>
      <c r="D6" s="56">
        <f t="shared" si="0"/>
        <v>1</v>
      </c>
      <c r="E6" s="60">
        <f t="shared" si="0"/>
        <v>0</v>
      </c>
      <c r="F6" s="131"/>
      <c r="G6" s="131"/>
      <c r="H6" s="129"/>
      <c r="I6" s="131"/>
      <c r="J6" s="131"/>
      <c r="K6" s="129"/>
      <c r="L6" s="131"/>
      <c r="M6" s="131"/>
      <c r="N6" s="129"/>
      <c r="O6" s="129"/>
      <c r="P6" s="129"/>
    </row>
    <row r="7" spans="1:16" ht="15" customHeight="1" x14ac:dyDescent="0.35">
      <c r="A7" s="39" t="s">
        <v>40</v>
      </c>
      <c r="B7" s="56">
        <f t="shared" ref="B7:E7" si="1">COUNTIF($I$12:$I$35,B$5)</f>
        <v>5</v>
      </c>
      <c r="C7" s="56">
        <f t="shared" si="1"/>
        <v>3</v>
      </c>
      <c r="D7" s="56">
        <f t="shared" si="1"/>
        <v>14</v>
      </c>
      <c r="E7" s="60">
        <f t="shared" si="1"/>
        <v>0</v>
      </c>
      <c r="F7" s="131"/>
      <c r="G7" s="131"/>
      <c r="H7" s="129"/>
      <c r="I7" s="131"/>
      <c r="J7" s="131"/>
      <c r="K7" s="129"/>
      <c r="L7" s="131"/>
      <c r="M7" s="131"/>
      <c r="N7" s="129"/>
      <c r="O7" s="129"/>
      <c r="P7" s="129"/>
    </row>
    <row r="8" spans="1:16" ht="15" customHeight="1" x14ac:dyDescent="0.35">
      <c r="A8" s="73" t="s">
        <v>46</v>
      </c>
      <c r="B8" s="74">
        <f t="shared" ref="B8:E8" si="2">COUNTIF($L$12:$L$35,B$5)</f>
        <v>8</v>
      </c>
      <c r="C8" s="74">
        <f t="shared" si="2"/>
        <v>0</v>
      </c>
      <c r="D8" s="74">
        <f t="shared" si="2"/>
        <v>14</v>
      </c>
      <c r="E8" s="78">
        <f t="shared" si="2"/>
        <v>0</v>
      </c>
      <c r="F8" s="131"/>
      <c r="G8" s="131"/>
      <c r="H8" s="129"/>
      <c r="I8" s="131"/>
      <c r="J8" s="131"/>
      <c r="K8" s="129"/>
      <c r="L8" s="131"/>
      <c r="M8" s="131"/>
      <c r="N8" s="129"/>
      <c r="O8" s="129"/>
      <c r="P8" s="129"/>
    </row>
    <row r="9" spans="1:16" ht="15" customHeight="1" x14ac:dyDescent="0.35">
      <c r="A9" s="129"/>
      <c r="B9" s="129"/>
      <c r="C9" s="129"/>
      <c r="D9" s="129"/>
      <c r="E9" s="129"/>
      <c r="F9" s="122"/>
      <c r="G9" s="129"/>
      <c r="H9" s="129"/>
      <c r="I9" s="122"/>
      <c r="J9" s="129"/>
      <c r="K9" s="129"/>
      <c r="L9" s="122"/>
      <c r="M9" s="129"/>
      <c r="N9" s="129"/>
      <c r="O9" s="129"/>
      <c r="P9" s="129"/>
    </row>
    <row r="10" spans="1:16" ht="30" customHeight="1" x14ac:dyDescent="0.25">
      <c r="A10" s="85" t="s">
        <v>58</v>
      </c>
      <c r="B10" s="85" t="s">
        <v>60</v>
      </c>
      <c r="C10" s="85" t="s">
        <v>61</v>
      </c>
      <c r="D10" s="85" t="s">
        <v>63</v>
      </c>
      <c r="E10" s="85" t="s">
        <v>64</v>
      </c>
      <c r="F10" s="85" t="s">
        <v>32</v>
      </c>
      <c r="G10" s="85" t="s">
        <v>65</v>
      </c>
      <c r="H10" s="85" t="s">
        <v>66</v>
      </c>
      <c r="I10" s="85" t="s">
        <v>40</v>
      </c>
      <c r="J10" s="85" t="s">
        <v>65</v>
      </c>
      <c r="K10" s="85" t="s">
        <v>66</v>
      </c>
      <c r="L10" s="85" t="s">
        <v>46</v>
      </c>
      <c r="M10" s="85" t="s">
        <v>65</v>
      </c>
      <c r="N10" s="85" t="s">
        <v>66</v>
      </c>
      <c r="O10" s="85" t="s">
        <v>67</v>
      </c>
      <c r="P10" s="85" t="s">
        <v>68</v>
      </c>
    </row>
    <row r="11" spans="1:16" ht="21" customHeight="1" x14ac:dyDescent="0.25">
      <c r="A11" s="133" t="s">
        <v>321</v>
      </c>
      <c r="B11" s="133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5"/>
    </row>
    <row r="12" spans="1:16" ht="78" customHeight="1" outlineLevel="1" x14ac:dyDescent="0.25">
      <c r="A12" s="137" t="s">
        <v>322</v>
      </c>
      <c r="B12" s="137" t="s">
        <v>323</v>
      </c>
      <c r="C12" s="137" t="s">
        <v>324</v>
      </c>
      <c r="D12" s="139" t="s">
        <v>325</v>
      </c>
      <c r="E12" s="139" t="s">
        <v>326</v>
      </c>
      <c r="F12" s="137" t="s">
        <v>10</v>
      </c>
      <c r="G12" s="150">
        <v>46122</v>
      </c>
      <c r="H12" s="137" t="s">
        <v>327</v>
      </c>
      <c r="I12" s="137" t="s">
        <v>23</v>
      </c>
      <c r="J12" s="150"/>
      <c r="K12" s="137"/>
      <c r="L12" s="137" t="s">
        <v>23</v>
      </c>
      <c r="M12" s="150"/>
      <c r="N12" s="137"/>
      <c r="O12" s="137"/>
      <c r="P12" s="137" t="s">
        <v>328</v>
      </c>
    </row>
    <row r="13" spans="1:16" ht="78" customHeight="1" outlineLevel="1" x14ac:dyDescent="0.25">
      <c r="A13" s="137" t="s">
        <v>329</v>
      </c>
      <c r="B13" s="137" t="s">
        <v>330</v>
      </c>
      <c r="C13" s="137" t="s">
        <v>331</v>
      </c>
      <c r="D13" s="139" t="s">
        <v>332</v>
      </c>
      <c r="E13" s="139" t="s">
        <v>333</v>
      </c>
      <c r="F13" s="137" t="s">
        <v>10</v>
      </c>
      <c r="G13" s="150">
        <v>46122</v>
      </c>
      <c r="H13" s="137" t="s">
        <v>327</v>
      </c>
      <c r="I13" s="137" t="s">
        <v>23</v>
      </c>
      <c r="J13" s="150"/>
      <c r="K13" s="137"/>
      <c r="L13" s="137" t="s">
        <v>23</v>
      </c>
      <c r="M13" s="150"/>
      <c r="N13" s="137"/>
      <c r="O13" s="137"/>
      <c r="P13" s="137" t="s">
        <v>334</v>
      </c>
    </row>
    <row r="14" spans="1:16" ht="78" customHeight="1" outlineLevel="1" x14ac:dyDescent="0.25">
      <c r="A14" s="137" t="s">
        <v>335</v>
      </c>
      <c r="B14" s="137" t="s">
        <v>336</v>
      </c>
      <c r="C14" s="137" t="s">
        <v>337</v>
      </c>
      <c r="D14" s="139" t="s">
        <v>338</v>
      </c>
      <c r="E14" s="139" t="s">
        <v>339</v>
      </c>
      <c r="F14" s="137" t="s">
        <v>10</v>
      </c>
      <c r="G14" s="150">
        <v>46122</v>
      </c>
      <c r="H14" s="137" t="s">
        <v>327</v>
      </c>
      <c r="I14" s="137" t="s">
        <v>23</v>
      </c>
      <c r="J14" s="150"/>
      <c r="K14" s="137"/>
      <c r="L14" s="137" t="s">
        <v>23</v>
      </c>
      <c r="M14" s="150"/>
      <c r="N14" s="137"/>
      <c r="O14" s="137"/>
      <c r="P14" s="137" t="s">
        <v>340</v>
      </c>
    </row>
    <row r="15" spans="1:16" ht="78" customHeight="1" outlineLevel="1" x14ac:dyDescent="0.25">
      <c r="A15" s="137" t="s">
        <v>341</v>
      </c>
      <c r="B15" s="137" t="s">
        <v>342</v>
      </c>
      <c r="C15" s="137" t="s">
        <v>343</v>
      </c>
      <c r="D15" s="139" t="s">
        <v>344</v>
      </c>
      <c r="E15" s="139" t="s">
        <v>345</v>
      </c>
      <c r="F15" s="137" t="s">
        <v>10</v>
      </c>
      <c r="G15" s="150">
        <v>46122</v>
      </c>
      <c r="H15" s="137" t="s">
        <v>327</v>
      </c>
      <c r="I15" s="137" t="s">
        <v>23</v>
      </c>
      <c r="J15" s="150"/>
      <c r="K15" s="137"/>
      <c r="L15" s="137" t="s">
        <v>23</v>
      </c>
      <c r="M15" s="150"/>
      <c r="N15" s="137"/>
      <c r="O15" s="137"/>
      <c r="P15" s="137" t="s">
        <v>346</v>
      </c>
    </row>
    <row r="16" spans="1:16" ht="78" customHeight="1" outlineLevel="1" x14ac:dyDescent="0.25">
      <c r="A16" s="137" t="s">
        <v>347</v>
      </c>
      <c r="B16" s="137" t="s">
        <v>348</v>
      </c>
      <c r="C16" s="137" t="s">
        <v>349</v>
      </c>
      <c r="D16" s="139" t="s">
        <v>350</v>
      </c>
      <c r="E16" s="139" t="s">
        <v>351</v>
      </c>
      <c r="F16" s="137" t="s">
        <v>10</v>
      </c>
      <c r="G16" s="150">
        <v>46122</v>
      </c>
      <c r="H16" s="137" t="s">
        <v>327</v>
      </c>
      <c r="I16" s="137" t="s">
        <v>23</v>
      </c>
      <c r="J16" s="150"/>
      <c r="K16" s="137"/>
      <c r="L16" s="137" t="s">
        <v>23</v>
      </c>
      <c r="M16" s="150"/>
      <c r="N16" s="137"/>
      <c r="O16" s="137"/>
      <c r="P16" s="137" t="s">
        <v>352</v>
      </c>
    </row>
    <row r="17" spans="1:16" ht="78" customHeight="1" outlineLevel="1" x14ac:dyDescent="0.25">
      <c r="A17" s="137" t="s">
        <v>353</v>
      </c>
      <c r="B17" s="137" t="s">
        <v>354</v>
      </c>
      <c r="C17" s="137" t="s">
        <v>355</v>
      </c>
      <c r="D17" s="139" t="s">
        <v>356</v>
      </c>
      <c r="E17" s="139" t="s">
        <v>357</v>
      </c>
      <c r="F17" s="137" t="s">
        <v>23</v>
      </c>
      <c r="G17" s="150"/>
      <c r="H17" s="137"/>
      <c r="I17" s="137" t="s">
        <v>23</v>
      </c>
      <c r="J17" s="150"/>
      <c r="K17" s="137"/>
      <c r="L17" s="137" t="s">
        <v>23</v>
      </c>
      <c r="M17" s="150"/>
      <c r="N17" s="137"/>
      <c r="O17" s="137"/>
      <c r="P17" s="137" t="s">
        <v>358</v>
      </c>
    </row>
    <row r="18" spans="1:16" ht="21" customHeight="1" x14ac:dyDescent="0.25">
      <c r="A18" s="133" t="s">
        <v>359</v>
      </c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5"/>
    </row>
    <row r="19" spans="1:16" ht="78" customHeight="1" outlineLevel="1" x14ac:dyDescent="0.25">
      <c r="A19" s="137" t="s">
        <v>360</v>
      </c>
      <c r="B19" s="137" t="s">
        <v>361</v>
      </c>
      <c r="C19" s="137" t="s">
        <v>362</v>
      </c>
      <c r="D19" s="139" t="s">
        <v>363</v>
      </c>
      <c r="E19" s="139" t="s">
        <v>364</v>
      </c>
      <c r="F19" s="137" t="s">
        <v>10</v>
      </c>
      <c r="G19" s="150">
        <v>46122</v>
      </c>
      <c r="H19" s="137" t="s">
        <v>327</v>
      </c>
      <c r="I19" s="137" t="s">
        <v>23</v>
      </c>
      <c r="J19" s="150"/>
      <c r="K19" s="137"/>
      <c r="L19" s="137" t="s">
        <v>23</v>
      </c>
      <c r="M19" s="150"/>
      <c r="N19" s="137"/>
      <c r="O19" s="137"/>
      <c r="P19" s="137" t="s">
        <v>365</v>
      </c>
    </row>
    <row r="20" spans="1:16" ht="78" customHeight="1" outlineLevel="1" x14ac:dyDescent="0.25">
      <c r="A20" s="137" t="s">
        <v>366</v>
      </c>
      <c r="B20" s="137" t="s">
        <v>367</v>
      </c>
      <c r="C20" s="137" t="s">
        <v>368</v>
      </c>
      <c r="D20" s="139" t="s">
        <v>369</v>
      </c>
      <c r="E20" s="139" t="s">
        <v>370</v>
      </c>
      <c r="F20" s="137" t="s">
        <v>10</v>
      </c>
      <c r="G20" s="150">
        <v>46122</v>
      </c>
      <c r="H20" s="137" t="s">
        <v>327</v>
      </c>
      <c r="I20" s="137" t="s">
        <v>23</v>
      </c>
      <c r="J20" s="150"/>
      <c r="K20" s="137"/>
      <c r="L20" s="137" t="s">
        <v>23</v>
      </c>
      <c r="M20" s="150"/>
      <c r="N20" s="137"/>
      <c r="O20" s="137"/>
      <c r="P20" s="137" t="s">
        <v>371</v>
      </c>
    </row>
    <row r="21" spans="1:16" ht="78" customHeight="1" outlineLevel="1" x14ac:dyDescent="0.25">
      <c r="A21" s="137" t="s">
        <v>372</v>
      </c>
      <c r="B21" s="137" t="s">
        <v>373</v>
      </c>
      <c r="C21" s="137" t="s">
        <v>374</v>
      </c>
      <c r="D21" s="139" t="s">
        <v>375</v>
      </c>
      <c r="E21" s="139" t="s">
        <v>376</v>
      </c>
      <c r="F21" s="137" t="s">
        <v>10</v>
      </c>
      <c r="G21" s="150">
        <v>46122</v>
      </c>
      <c r="H21" s="137" t="s">
        <v>327</v>
      </c>
      <c r="I21" s="137" t="s">
        <v>23</v>
      </c>
      <c r="J21" s="150"/>
      <c r="K21" s="137"/>
      <c r="L21" s="137" t="s">
        <v>23</v>
      </c>
      <c r="M21" s="150"/>
      <c r="N21" s="137"/>
      <c r="O21" s="137"/>
      <c r="P21" s="137" t="s">
        <v>377</v>
      </c>
    </row>
    <row r="22" spans="1:16" ht="78" customHeight="1" outlineLevel="1" x14ac:dyDescent="0.25">
      <c r="A22" s="137" t="s">
        <v>378</v>
      </c>
      <c r="B22" s="137" t="s">
        <v>379</v>
      </c>
      <c r="C22" s="137" t="s">
        <v>380</v>
      </c>
      <c r="D22" s="139" t="s">
        <v>381</v>
      </c>
      <c r="E22" s="139" t="s">
        <v>382</v>
      </c>
      <c r="F22" s="137" t="s">
        <v>10</v>
      </c>
      <c r="G22" s="150">
        <v>46122</v>
      </c>
      <c r="H22" s="137" t="s">
        <v>327</v>
      </c>
      <c r="I22" s="137" t="s">
        <v>23</v>
      </c>
      <c r="J22" s="150"/>
      <c r="K22" s="137"/>
      <c r="L22" s="137" t="s">
        <v>23</v>
      </c>
      <c r="M22" s="150"/>
      <c r="N22" s="137"/>
      <c r="O22" s="137"/>
      <c r="P22" s="137" t="s">
        <v>383</v>
      </c>
    </row>
    <row r="23" spans="1:16" ht="78" customHeight="1" outlineLevel="1" x14ac:dyDescent="0.25">
      <c r="A23" s="137" t="s">
        <v>384</v>
      </c>
      <c r="B23" s="137" t="s">
        <v>385</v>
      </c>
      <c r="C23" s="137" t="s">
        <v>386</v>
      </c>
      <c r="D23" s="139" t="s">
        <v>387</v>
      </c>
      <c r="E23" s="139" t="s">
        <v>388</v>
      </c>
      <c r="F23" s="137" t="s">
        <v>10</v>
      </c>
      <c r="G23" s="150">
        <v>46122</v>
      </c>
      <c r="H23" s="137" t="s">
        <v>327</v>
      </c>
      <c r="I23" s="137" t="s">
        <v>23</v>
      </c>
      <c r="J23" s="150"/>
      <c r="K23" s="137"/>
      <c r="L23" s="137" t="s">
        <v>23</v>
      </c>
      <c r="M23" s="150"/>
      <c r="N23" s="137"/>
      <c r="O23" s="137"/>
      <c r="P23" s="137" t="s">
        <v>389</v>
      </c>
    </row>
    <row r="24" spans="1:16" ht="78" customHeight="1" outlineLevel="1" x14ac:dyDescent="0.25">
      <c r="A24" s="137" t="s">
        <v>390</v>
      </c>
      <c r="B24" s="137" t="s">
        <v>391</v>
      </c>
      <c r="C24" s="137" t="s">
        <v>392</v>
      </c>
      <c r="D24" s="139" t="s">
        <v>393</v>
      </c>
      <c r="E24" s="139" t="s">
        <v>394</v>
      </c>
      <c r="F24" s="137" t="s">
        <v>10</v>
      </c>
      <c r="G24" s="150">
        <v>46122</v>
      </c>
      <c r="H24" s="137" t="s">
        <v>327</v>
      </c>
      <c r="I24" s="137" t="s">
        <v>23</v>
      </c>
      <c r="J24" s="150"/>
      <c r="K24" s="137"/>
      <c r="L24" s="137" t="s">
        <v>23</v>
      </c>
      <c r="M24" s="150"/>
      <c r="N24" s="137"/>
      <c r="O24" s="137"/>
      <c r="P24" s="137" t="s">
        <v>395</v>
      </c>
    </row>
    <row r="25" spans="1:16" ht="21" customHeight="1" x14ac:dyDescent="0.25">
      <c r="A25" s="133" t="s">
        <v>396</v>
      </c>
      <c r="B25" s="133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5"/>
    </row>
    <row r="26" spans="1:16" ht="78" customHeight="1" outlineLevel="1" x14ac:dyDescent="0.25">
      <c r="A26" s="137" t="s">
        <v>397</v>
      </c>
      <c r="B26" s="137" t="s">
        <v>398</v>
      </c>
      <c r="C26" s="137" t="s">
        <v>399</v>
      </c>
      <c r="D26" s="139" t="s">
        <v>400</v>
      </c>
      <c r="E26" s="139" t="s">
        <v>401</v>
      </c>
      <c r="F26" s="137" t="s">
        <v>10</v>
      </c>
      <c r="G26" s="150">
        <v>46122</v>
      </c>
      <c r="H26" s="137" t="s">
        <v>327</v>
      </c>
      <c r="I26" s="137" t="s">
        <v>23</v>
      </c>
      <c r="J26" s="150"/>
      <c r="K26" s="137"/>
      <c r="L26" s="137" t="s">
        <v>23</v>
      </c>
      <c r="M26" s="150"/>
      <c r="N26" s="137"/>
      <c r="O26" s="137"/>
      <c r="P26" s="137" t="s">
        <v>402</v>
      </c>
    </row>
    <row r="27" spans="1:16" ht="78" customHeight="1" outlineLevel="1" x14ac:dyDescent="0.25">
      <c r="A27" s="137" t="s">
        <v>403</v>
      </c>
      <c r="B27" s="137" t="s">
        <v>404</v>
      </c>
      <c r="C27" s="137" t="s">
        <v>405</v>
      </c>
      <c r="D27" s="139" t="s">
        <v>406</v>
      </c>
      <c r="E27" s="139" t="s">
        <v>407</v>
      </c>
      <c r="F27" s="137" t="s">
        <v>10</v>
      </c>
      <c r="G27" s="150">
        <v>46122</v>
      </c>
      <c r="H27" s="137" t="s">
        <v>327</v>
      </c>
      <c r="I27" s="137" t="s">
        <v>10</v>
      </c>
      <c r="J27" s="150"/>
      <c r="K27" s="137"/>
      <c r="L27" s="137" t="s">
        <v>10</v>
      </c>
      <c r="M27" s="150"/>
      <c r="N27" s="137"/>
      <c r="O27" s="137"/>
      <c r="P27" s="137" t="s">
        <v>408</v>
      </c>
    </row>
    <row r="28" spans="1:16" ht="78" customHeight="1" outlineLevel="1" x14ac:dyDescent="0.25">
      <c r="A28" s="137" t="s">
        <v>409</v>
      </c>
      <c r="B28" s="137" t="s">
        <v>410</v>
      </c>
      <c r="C28" s="137" t="s">
        <v>411</v>
      </c>
      <c r="D28" s="139" t="s">
        <v>412</v>
      </c>
      <c r="E28" s="139" t="s">
        <v>413</v>
      </c>
      <c r="F28" s="137" t="s">
        <v>10</v>
      </c>
      <c r="G28" s="150">
        <v>46122</v>
      </c>
      <c r="H28" s="137" t="s">
        <v>327</v>
      </c>
      <c r="I28" s="137" t="s">
        <v>18</v>
      </c>
      <c r="J28" s="150"/>
      <c r="K28" s="137"/>
      <c r="L28" s="137" t="s">
        <v>10</v>
      </c>
      <c r="M28" s="150"/>
      <c r="N28" s="137"/>
      <c r="O28" s="137"/>
      <c r="P28" s="137" t="s">
        <v>414</v>
      </c>
    </row>
    <row r="29" spans="1:16" ht="78" customHeight="1" outlineLevel="1" x14ac:dyDescent="0.25">
      <c r="A29" s="137" t="s">
        <v>415</v>
      </c>
      <c r="B29" s="137" t="s">
        <v>416</v>
      </c>
      <c r="C29" s="137" t="s">
        <v>417</v>
      </c>
      <c r="D29" s="139" t="s">
        <v>418</v>
      </c>
      <c r="E29" s="139" t="s">
        <v>419</v>
      </c>
      <c r="F29" s="137" t="s">
        <v>10</v>
      </c>
      <c r="G29" s="150">
        <v>46122</v>
      </c>
      <c r="H29" s="137" t="s">
        <v>327</v>
      </c>
      <c r="I29" s="137" t="s">
        <v>18</v>
      </c>
      <c r="J29" s="150"/>
      <c r="K29" s="137"/>
      <c r="L29" s="137" t="s">
        <v>10</v>
      </c>
      <c r="M29" s="150"/>
      <c r="N29" s="137"/>
      <c r="O29" s="137"/>
      <c r="P29" s="137" t="s">
        <v>420</v>
      </c>
    </row>
    <row r="30" spans="1:16" ht="78" customHeight="1" outlineLevel="1" x14ac:dyDescent="0.25">
      <c r="A30" s="137" t="s">
        <v>421</v>
      </c>
      <c r="B30" s="137" t="s">
        <v>422</v>
      </c>
      <c r="C30" s="137" t="s">
        <v>423</v>
      </c>
      <c r="D30" s="139" t="s">
        <v>424</v>
      </c>
      <c r="E30" s="139" t="s">
        <v>425</v>
      </c>
      <c r="F30" s="137" t="s">
        <v>10</v>
      </c>
      <c r="G30" s="150">
        <v>46122</v>
      </c>
      <c r="H30" s="137" t="s">
        <v>327</v>
      </c>
      <c r="I30" s="137" t="s">
        <v>23</v>
      </c>
      <c r="J30" s="150"/>
      <c r="K30" s="137"/>
      <c r="L30" s="137" t="s">
        <v>23</v>
      </c>
      <c r="M30" s="150"/>
      <c r="N30" s="137"/>
      <c r="O30" s="137"/>
      <c r="P30" s="137" t="s">
        <v>426</v>
      </c>
    </row>
    <row r="31" spans="1:16" ht="78" customHeight="1" outlineLevel="1" x14ac:dyDescent="0.25">
      <c r="A31" s="137" t="s">
        <v>427</v>
      </c>
      <c r="B31" s="137" t="s">
        <v>428</v>
      </c>
      <c r="C31" s="137" t="s">
        <v>429</v>
      </c>
      <c r="D31" s="139" t="s">
        <v>430</v>
      </c>
      <c r="E31" s="139" t="s">
        <v>425</v>
      </c>
      <c r="F31" s="137" t="s">
        <v>10</v>
      </c>
      <c r="G31" s="150">
        <v>46122</v>
      </c>
      <c r="H31" s="137" t="s">
        <v>327</v>
      </c>
      <c r="I31" s="137" t="s">
        <v>10</v>
      </c>
      <c r="J31" s="150"/>
      <c r="K31" s="137"/>
      <c r="L31" s="137" t="s">
        <v>10</v>
      </c>
      <c r="M31" s="150"/>
      <c r="N31" s="137"/>
      <c r="O31" s="137"/>
      <c r="P31" s="137" t="s">
        <v>431</v>
      </c>
    </row>
    <row r="32" spans="1:16" ht="78" customHeight="1" outlineLevel="1" x14ac:dyDescent="0.25">
      <c r="A32" s="137" t="s">
        <v>432</v>
      </c>
      <c r="B32" s="137" t="s">
        <v>433</v>
      </c>
      <c r="C32" s="137" t="s">
        <v>434</v>
      </c>
      <c r="D32" s="139" t="s">
        <v>435</v>
      </c>
      <c r="E32" s="139" t="s">
        <v>436</v>
      </c>
      <c r="F32" s="137" t="s">
        <v>10</v>
      </c>
      <c r="G32" s="150">
        <v>46122</v>
      </c>
      <c r="H32" s="137" t="s">
        <v>327</v>
      </c>
      <c r="I32" s="137" t="s">
        <v>18</v>
      </c>
      <c r="J32" s="150"/>
      <c r="K32" s="137"/>
      <c r="L32" s="137" t="s">
        <v>10</v>
      </c>
      <c r="M32" s="150"/>
      <c r="N32" s="137"/>
      <c r="O32" s="137"/>
      <c r="P32" s="137" t="s">
        <v>437</v>
      </c>
    </row>
    <row r="33" spans="1:16" ht="90.75" customHeight="1" outlineLevel="1" x14ac:dyDescent="0.25">
      <c r="A33" s="137" t="s">
        <v>438</v>
      </c>
      <c r="B33" s="137" t="s">
        <v>439</v>
      </c>
      <c r="C33" s="137" t="s">
        <v>440</v>
      </c>
      <c r="D33" s="139" t="s">
        <v>441</v>
      </c>
      <c r="E33" s="139" t="s">
        <v>442</v>
      </c>
      <c r="F33" s="137" t="s">
        <v>10</v>
      </c>
      <c r="G33" s="150">
        <v>46122</v>
      </c>
      <c r="H33" s="137" t="s">
        <v>327</v>
      </c>
      <c r="I33" s="137" t="s">
        <v>10</v>
      </c>
      <c r="J33" s="150"/>
      <c r="K33" s="137"/>
      <c r="L33" s="137" t="s">
        <v>10</v>
      </c>
      <c r="M33" s="150"/>
      <c r="N33" s="137"/>
      <c r="O33" s="137"/>
      <c r="P33" s="137" t="s">
        <v>443</v>
      </c>
    </row>
    <row r="34" spans="1:16" ht="90.75" customHeight="1" outlineLevel="1" x14ac:dyDescent="0.25">
      <c r="A34" s="137" t="s">
        <v>444</v>
      </c>
      <c r="B34" s="137" t="s">
        <v>445</v>
      </c>
      <c r="C34" s="137" t="s">
        <v>446</v>
      </c>
      <c r="D34" s="139" t="s">
        <v>447</v>
      </c>
      <c r="E34" s="139" t="s">
        <v>448</v>
      </c>
      <c r="F34" s="137" t="s">
        <v>18</v>
      </c>
      <c r="G34" s="150">
        <v>46122</v>
      </c>
      <c r="H34" s="137" t="s">
        <v>327</v>
      </c>
      <c r="I34" s="137" t="s">
        <v>10</v>
      </c>
      <c r="J34" s="150"/>
      <c r="K34" s="137"/>
      <c r="L34" s="137" t="s">
        <v>10</v>
      </c>
      <c r="M34" s="150"/>
      <c r="N34" s="137"/>
      <c r="O34" s="137"/>
      <c r="P34" s="137" t="s">
        <v>449</v>
      </c>
    </row>
    <row r="35" spans="1:16" ht="78" customHeight="1" outlineLevel="1" x14ac:dyDescent="0.25">
      <c r="A35" s="137" t="s">
        <v>450</v>
      </c>
      <c r="B35" s="137" t="s">
        <v>451</v>
      </c>
      <c r="C35" s="137" t="s">
        <v>452</v>
      </c>
      <c r="D35" s="139" t="s">
        <v>453</v>
      </c>
      <c r="E35" s="139" t="s">
        <v>454</v>
      </c>
      <c r="F35" s="137" t="s">
        <v>10</v>
      </c>
      <c r="G35" s="150">
        <v>46122</v>
      </c>
      <c r="H35" s="137" t="s">
        <v>327</v>
      </c>
      <c r="I35" s="137" t="s">
        <v>10</v>
      </c>
      <c r="J35" s="150"/>
      <c r="K35" s="137"/>
      <c r="L35" s="137" t="s">
        <v>10</v>
      </c>
      <c r="M35" s="150"/>
      <c r="N35" s="137"/>
      <c r="O35" s="137"/>
      <c r="P35" s="137" t="s">
        <v>455</v>
      </c>
    </row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2:E2"/>
    <mergeCell ref="B3:E3"/>
    <mergeCell ref="B4:E4"/>
  </mergeCells>
  <dataValidations count="1">
    <dataValidation type="list" allowBlank="1" sqref="F12:F17 I12:I17 L12:L17 F19:F24 I19:I24 L19:L24 I26:I35 F26:F35 L26:L35" xr:uid="{00000000-0002-0000-0700-000000000000}">
      <formula1>"Passed,Failed,Pending,N/A"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11"/>
  <sheetViews>
    <sheetView workbookViewId="0">
      <pane ySplit="10" topLeftCell="A33" activePane="bottomLeft" state="frozen"/>
      <selection pane="bottomLeft" activeCell="I16" sqref="I16"/>
    </sheetView>
  </sheetViews>
  <sheetFormatPr defaultColWidth="12.59765625" defaultRowHeight="15" customHeight="1" outlineLevelRow="1" outlineLevelCol="1" x14ac:dyDescent="0.25"/>
  <cols>
    <col min="1" max="1" width="17" customWidth="1"/>
    <col min="2" max="2" width="34.46484375" customWidth="1"/>
    <col min="3" max="3" width="33.3984375" customWidth="1"/>
    <col min="4" max="4" width="34.59765625" customWidth="1"/>
    <col min="5" max="5" width="28.3984375" customWidth="1"/>
    <col min="6" max="6" width="9.3984375" customWidth="1" collapsed="1"/>
    <col min="7" max="7" width="10.59765625" hidden="1" customWidth="1" outlineLevel="1"/>
    <col min="8" max="8" width="7" hidden="1" customWidth="1" outlineLevel="1"/>
    <col min="9" max="9" width="9.3984375" customWidth="1" collapsed="1"/>
    <col min="10" max="10" width="10.59765625" hidden="1" customWidth="1" outlineLevel="1"/>
    <col min="11" max="11" width="7" hidden="1" customWidth="1" outlineLevel="1"/>
    <col min="12" max="12" width="9.3984375" customWidth="1" collapsed="1"/>
    <col min="13" max="13" width="10.59765625" hidden="1" customWidth="1" outlineLevel="1"/>
    <col min="14" max="14" width="7" hidden="1" customWidth="1" outlineLevel="1"/>
    <col min="15" max="15" width="16.59765625" customWidth="1"/>
    <col min="16" max="16" width="28.59765625" customWidth="1"/>
    <col min="17" max="17" width="10.1328125" customWidth="1"/>
    <col min="18" max="18" width="8.1328125" customWidth="1"/>
    <col min="19" max="19" width="7.59765625" hidden="1" customWidth="1"/>
    <col min="20" max="26" width="9" customWidth="1"/>
  </cols>
  <sheetData>
    <row r="1" spans="1:26" ht="12.75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123"/>
      <c r="S1" s="4"/>
      <c r="T1" s="4"/>
      <c r="U1" s="4"/>
      <c r="V1" s="4"/>
      <c r="W1" s="4"/>
      <c r="X1" s="4"/>
      <c r="Y1" s="4"/>
      <c r="Z1" s="4"/>
    </row>
    <row r="2" spans="1:26" ht="15" customHeight="1" x14ac:dyDescent="0.35">
      <c r="A2" s="9" t="s">
        <v>1</v>
      </c>
      <c r="B2" s="175" t="s">
        <v>456</v>
      </c>
      <c r="C2" s="176"/>
      <c r="D2" s="176"/>
      <c r="E2" s="177"/>
      <c r="F2" s="124"/>
      <c r="G2" s="125"/>
      <c r="H2" s="26"/>
      <c r="I2" s="124"/>
      <c r="J2" s="125"/>
      <c r="K2" s="26"/>
      <c r="L2" s="124"/>
      <c r="M2" s="125"/>
      <c r="N2" s="26"/>
      <c r="O2" s="26"/>
      <c r="P2" s="26"/>
      <c r="Q2" s="26"/>
      <c r="R2" s="126"/>
      <c r="S2" s="127" t="s">
        <v>10</v>
      </c>
      <c r="T2" s="127"/>
      <c r="U2" s="127"/>
      <c r="V2" s="127"/>
      <c r="W2" s="127"/>
      <c r="X2" s="127"/>
      <c r="Y2" s="127"/>
      <c r="Z2" s="127"/>
    </row>
    <row r="3" spans="1:26" ht="12.75" customHeight="1" x14ac:dyDescent="0.35">
      <c r="A3" s="27" t="s">
        <v>11</v>
      </c>
      <c r="B3" s="178" t="s">
        <v>457</v>
      </c>
      <c r="C3" s="161"/>
      <c r="D3" s="161"/>
      <c r="E3" s="179"/>
      <c r="F3" s="124"/>
      <c r="G3" s="125"/>
      <c r="H3" s="26"/>
      <c r="I3" s="124"/>
      <c r="J3" s="125"/>
      <c r="K3" s="26"/>
      <c r="L3" s="124"/>
      <c r="M3" s="125"/>
      <c r="N3" s="26"/>
      <c r="O3" s="26"/>
      <c r="P3" s="26"/>
      <c r="Q3" s="26"/>
      <c r="R3" s="126"/>
      <c r="S3" s="127" t="s">
        <v>18</v>
      </c>
      <c r="T3" s="127"/>
      <c r="U3" s="127"/>
      <c r="V3" s="127"/>
      <c r="W3" s="127"/>
      <c r="X3" s="127"/>
      <c r="Y3" s="127"/>
      <c r="Z3" s="127"/>
    </row>
    <row r="4" spans="1:26" ht="18" customHeight="1" x14ac:dyDescent="0.35">
      <c r="A4" s="27" t="s">
        <v>19</v>
      </c>
      <c r="B4" s="178">
        <f>COUNTA(A12:A1009)</f>
        <v>23</v>
      </c>
      <c r="C4" s="161"/>
      <c r="D4" s="161"/>
      <c r="E4" s="179"/>
      <c r="F4" s="124"/>
      <c r="G4" s="125"/>
      <c r="H4" s="26"/>
      <c r="I4" s="124"/>
      <c r="J4" s="125"/>
      <c r="K4" s="26"/>
      <c r="L4" s="124"/>
      <c r="M4" s="125"/>
      <c r="N4" s="26"/>
      <c r="O4" s="26"/>
      <c r="P4" s="26"/>
      <c r="Q4" s="26"/>
      <c r="R4" s="126"/>
      <c r="S4" s="127" t="s">
        <v>23</v>
      </c>
      <c r="T4" s="127"/>
      <c r="U4" s="127"/>
      <c r="V4" s="127"/>
      <c r="W4" s="127"/>
      <c r="X4" s="127"/>
      <c r="Y4" s="127"/>
      <c r="Z4" s="127"/>
    </row>
    <row r="5" spans="1:26" ht="19.5" customHeight="1" x14ac:dyDescent="0.35">
      <c r="A5" s="39" t="s">
        <v>25</v>
      </c>
      <c r="B5" s="42" t="s">
        <v>10</v>
      </c>
      <c r="C5" s="42" t="s">
        <v>18</v>
      </c>
      <c r="D5" s="42" t="s">
        <v>23</v>
      </c>
      <c r="E5" s="45" t="s">
        <v>27</v>
      </c>
      <c r="F5" s="128"/>
      <c r="G5" s="128"/>
      <c r="H5" s="129"/>
      <c r="I5" s="128"/>
      <c r="J5" s="128"/>
      <c r="K5" s="129"/>
      <c r="L5" s="128"/>
      <c r="M5" s="128"/>
      <c r="N5" s="129"/>
      <c r="O5" s="129"/>
      <c r="P5" s="129"/>
      <c r="Q5" s="129"/>
      <c r="R5" s="130"/>
      <c r="S5" s="127" t="s">
        <v>27</v>
      </c>
      <c r="T5" s="127"/>
      <c r="U5" s="127"/>
      <c r="V5" s="127"/>
      <c r="W5" s="127"/>
      <c r="X5" s="127"/>
      <c r="Y5" s="127"/>
      <c r="Z5" s="127"/>
    </row>
    <row r="6" spans="1:26" ht="15" customHeight="1" x14ac:dyDescent="0.35">
      <c r="A6" s="39" t="s">
        <v>32</v>
      </c>
      <c r="B6" s="56">
        <f t="shared" ref="B6:E6" si="0">COUNTIF($F10:$F1007,B5)</f>
        <v>17</v>
      </c>
      <c r="C6" s="56">
        <f t="shared" si="0"/>
        <v>3</v>
      </c>
      <c r="D6" s="56">
        <f t="shared" si="0"/>
        <v>0</v>
      </c>
      <c r="E6" s="60">
        <f t="shared" si="0"/>
        <v>0</v>
      </c>
      <c r="F6" s="131"/>
      <c r="G6" s="131"/>
      <c r="H6" s="129"/>
      <c r="I6" s="131"/>
      <c r="J6" s="131"/>
      <c r="K6" s="129"/>
      <c r="L6" s="131"/>
      <c r="M6" s="131"/>
      <c r="N6" s="129"/>
      <c r="O6" s="129"/>
      <c r="P6" s="129"/>
      <c r="Q6" s="129"/>
      <c r="R6" s="130"/>
      <c r="S6" s="127"/>
      <c r="T6" s="127"/>
      <c r="U6" s="127"/>
      <c r="V6" s="127"/>
      <c r="W6" s="127"/>
      <c r="X6" s="127"/>
      <c r="Y6" s="127"/>
      <c r="Z6" s="127"/>
    </row>
    <row r="7" spans="1:26" ht="15" customHeight="1" x14ac:dyDescent="0.35">
      <c r="A7" s="39" t="s">
        <v>40</v>
      </c>
      <c r="B7" s="56">
        <f t="shared" ref="B7:E7" si="1">COUNTIF($F10:$F1007,B5)</f>
        <v>17</v>
      </c>
      <c r="C7" s="56">
        <f t="shared" si="1"/>
        <v>3</v>
      </c>
      <c r="D7" s="56">
        <f t="shared" si="1"/>
        <v>0</v>
      </c>
      <c r="E7" s="60">
        <f t="shared" si="1"/>
        <v>0</v>
      </c>
      <c r="F7" s="131"/>
      <c r="G7" s="131"/>
      <c r="H7" s="129"/>
      <c r="I7" s="131"/>
      <c r="J7" s="131"/>
      <c r="K7" s="129"/>
      <c r="L7" s="131"/>
      <c r="M7" s="131"/>
      <c r="N7" s="129"/>
      <c r="O7" s="129"/>
      <c r="P7" s="129"/>
      <c r="Q7" s="129"/>
      <c r="R7" s="130"/>
      <c r="S7" s="127"/>
      <c r="T7" s="127"/>
      <c r="U7" s="127"/>
      <c r="V7" s="127"/>
      <c r="W7" s="127"/>
      <c r="X7" s="127"/>
      <c r="Y7" s="127"/>
      <c r="Z7" s="127"/>
    </row>
    <row r="8" spans="1:26" ht="15" customHeight="1" x14ac:dyDescent="0.35">
      <c r="A8" s="73" t="s">
        <v>46</v>
      </c>
      <c r="B8" s="74">
        <f t="shared" ref="B8:E8" si="2">COUNTIF($F10:$F1007,B5)</f>
        <v>17</v>
      </c>
      <c r="C8" s="74">
        <f t="shared" si="2"/>
        <v>3</v>
      </c>
      <c r="D8" s="74">
        <f t="shared" si="2"/>
        <v>0</v>
      </c>
      <c r="E8" s="78">
        <f t="shared" si="2"/>
        <v>0</v>
      </c>
      <c r="F8" s="131"/>
      <c r="G8" s="131"/>
      <c r="H8" s="129"/>
      <c r="I8" s="131"/>
      <c r="J8" s="131"/>
      <c r="K8" s="129"/>
      <c r="L8" s="131"/>
      <c r="M8" s="131"/>
      <c r="N8" s="129"/>
      <c r="O8" s="129"/>
      <c r="P8" s="129"/>
      <c r="Q8" s="129"/>
      <c r="R8" s="130"/>
      <c r="S8" s="127"/>
      <c r="T8" s="127"/>
      <c r="U8" s="127"/>
      <c r="V8" s="127"/>
      <c r="W8" s="127"/>
      <c r="X8" s="127"/>
      <c r="Y8" s="127"/>
      <c r="Z8" s="127"/>
    </row>
    <row r="9" spans="1:26" ht="15" customHeight="1" x14ac:dyDescent="0.35">
      <c r="A9" s="129"/>
      <c r="B9" s="129"/>
      <c r="C9" s="129"/>
      <c r="D9" s="129"/>
      <c r="E9" s="129"/>
      <c r="F9" s="122"/>
      <c r="G9" s="129"/>
      <c r="H9" s="129"/>
      <c r="I9" s="122"/>
      <c r="J9" s="129"/>
      <c r="K9" s="129"/>
      <c r="L9" s="122"/>
      <c r="M9" s="129"/>
      <c r="N9" s="129"/>
      <c r="O9" s="129"/>
      <c r="P9" s="129"/>
      <c r="Q9" s="129"/>
      <c r="R9" s="130"/>
      <c r="S9" s="127"/>
      <c r="T9" s="127"/>
      <c r="U9" s="127"/>
      <c r="V9" s="127"/>
      <c r="W9" s="127"/>
      <c r="X9" s="127"/>
      <c r="Y9" s="127"/>
      <c r="Z9" s="127"/>
    </row>
    <row r="10" spans="1:26" ht="25.5" customHeight="1" x14ac:dyDescent="0.35">
      <c r="A10" s="85" t="s">
        <v>58</v>
      </c>
      <c r="B10" s="85" t="s">
        <v>60</v>
      </c>
      <c r="C10" s="85" t="s">
        <v>61</v>
      </c>
      <c r="D10" s="85" t="s">
        <v>63</v>
      </c>
      <c r="E10" s="85" t="s">
        <v>64</v>
      </c>
      <c r="F10" s="85" t="s">
        <v>32</v>
      </c>
      <c r="G10" s="85" t="s">
        <v>65</v>
      </c>
      <c r="H10" s="85" t="s">
        <v>66</v>
      </c>
      <c r="I10" s="85" t="s">
        <v>40</v>
      </c>
      <c r="J10" s="85" t="s">
        <v>65</v>
      </c>
      <c r="K10" s="85" t="s">
        <v>66</v>
      </c>
      <c r="L10" s="85" t="s">
        <v>46</v>
      </c>
      <c r="M10" s="85" t="s">
        <v>65</v>
      </c>
      <c r="N10" s="85" t="s">
        <v>66</v>
      </c>
      <c r="O10" s="85" t="s">
        <v>67</v>
      </c>
      <c r="P10" s="85" t="s">
        <v>68</v>
      </c>
      <c r="Q10" s="127"/>
      <c r="R10" s="132"/>
      <c r="S10" s="127"/>
      <c r="T10" s="127"/>
      <c r="U10" s="127"/>
      <c r="V10" s="127"/>
      <c r="W10" s="127"/>
      <c r="X10" s="127"/>
      <c r="Y10" s="127"/>
      <c r="Z10" s="127"/>
    </row>
    <row r="11" spans="1:26" ht="15.75" customHeight="1" x14ac:dyDescent="0.35">
      <c r="A11" s="133" t="s">
        <v>458</v>
      </c>
      <c r="B11" s="133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5"/>
      <c r="Q11" s="127"/>
      <c r="R11" s="136"/>
      <c r="S11" s="127"/>
      <c r="T11" s="127"/>
      <c r="U11" s="127"/>
      <c r="V11" s="127"/>
      <c r="W11" s="127"/>
      <c r="X11" s="127"/>
      <c r="Y11" s="127"/>
      <c r="Z11" s="127"/>
    </row>
    <row r="12" spans="1:26" ht="120.75" customHeight="1" outlineLevel="1" x14ac:dyDescent="0.25">
      <c r="A12" s="137" t="s">
        <v>459</v>
      </c>
      <c r="B12" s="138" t="s">
        <v>460</v>
      </c>
      <c r="C12" s="138" t="s">
        <v>461</v>
      </c>
      <c r="D12" s="139" t="s">
        <v>462</v>
      </c>
      <c r="E12" s="139" t="s">
        <v>463</v>
      </c>
      <c r="F12" s="137" t="s">
        <v>10</v>
      </c>
      <c r="G12" s="137"/>
      <c r="H12" s="137"/>
      <c r="I12" s="137" t="s">
        <v>10</v>
      </c>
      <c r="J12" s="137"/>
      <c r="K12" s="137"/>
      <c r="L12" s="137" t="s">
        <v>10</v>
      </c>
      <c r="M12" s="137"/>
      <c r="N12" s="137"/>
      <c r="O12" s="137"/>
      <c r="P12" s="137"/>
      <c r="Q12" s="140"/>
      <c r="R12" s="141"/>
      <c r="S12" s="140"/>
      <c r="T12" s="140"/>
      <c r="U12" s="140"/>
      <c r="V12" s="140"/>
      <c r="W12" s="140"/>
      <c r="X12" s="140"/>
      <c r="Y12" s="140"/>
      <c r="Z12" s="140"/>
    </row>
    <row r="13" spans="1:26" ht="12.75" customHeight="1" outlineLevel="1" x14ac:dyDescent="0.35">
      <c r="A13" s="137" t="s">
        <v>464</v>
      </c>
      <c r="B13" s="137" t="s">
        <v>465</v>
      </c>
      <c r="C13" s="137" t="s">
        <v>466</v>
      </c>
      <c r="D13" s="139" t="s">
        <v>467</v>
      </c>
      <c r="E13" s="139" t="s">
        <v>468</v>
      </c>
      <c r="F13" s="137" t="s">
        <v>10</v>
      </c>
      <c r="G13" s="137"/>
      <c r="H13" s="137"/>
      <c r="I13" s="137" t="s">
        <v>10</v>
      </c>
      <c r="J13" s="137"/>
      <c r="K13" s="137"/>
      <c r="L13" s="137" t="s">
        <v>10</v>
      </c>
      <c r="M13" s="137"/>
      <c r="N13" s="137"/>
      <c r="O13" s="137"/>
      <c r="P13" s="137"/>
      <c r="Q13" s="4"/>
      <c r="R13" s="141"/>
      <c r="S13" s="4"/>
      <c r="T13" s="4"/>
      <c r="U13" s="4"/>
      <c r="V13" s="4"/>
      <c r="W13" s="4"/>
      <c r="X13" s="4"/>
      <c r="Y13" s="4"/>
      <c r="Z13" s="4"/>
    </row>
    <row r="14" spans="1:26" ht="12.75" customHeight="1" outlineLevel="1" x14ac:dyDescent="0.35">
      <c r="A14" s="137" t="s">
        <v>469</v>
      </c>
      <c r="B14" s="137" t="s">
        <v>470</v>
      </c>
      <c r="C14" s="137" t="s">
        <v>471</v>
      </c>
      <c r="D14" s="139" t="s">
        <v>472</v>
      </c>
      <c r="E14" s="139" t="s">
        <v>473</v>
      </c>
      <c r="F14" s="137" t="s">
        <v>18</v>
      </c>
      <c r="G14" s="137"/>
      <c r="H14" s="137"/>
      <c r="I14" s="137" t="s">
        <v>10</v>
      </c>
      <c r="J14" s="137"/>
      <c r="K14" s="137"/>
      <c r="L14" s="137" t="s">
        <v>10</v>
      </c>
      <c r="M14" s="137"/>
      <c r="N14" s="137"/>
      <c r="O14" s="137"/>
      <c r="P14" s="137"/>
      <c r="Q14" s="4"/>
      <c r="R14" s="141"/>
      <c r="S14" s="4"/>
      <c r="T14" s="4"/>
      <c r="U14" s="4"/>
      <c r="V14" s="4"/>
      <c r="W14" s="4"/>
      <c r="X14" s="4"/>
      <c r="Y14" s="4"/>
      <c r="Z14" s="4"/>
    </row>
    <row r="15" spans="1:26" ht="12.75" customHeight="1" outlineLevel="1" x14ac:dyDescent="0.35">
      <c r="A15" s="137" t="s">
        <v>474</v>
      </c>
      <c r="B15" s="137" t="s">
        <v>475</v>
      </c>
      <c r="C15" s="137" t="s">
        <v>476</v>
      </c>
      <c r="D15" s="139" t="s">
        <v>477</v>
      </c>
      <c r="E15" s="139" t="s">
        <v>478</v>
      </c>
      <c r="F15" s="137" t="s">
        <v>10</v>
      </c>
      <c r="G15" s="137"/>
      <c r="H15" s="137"/>
      <c r="I15" s="137" t="s">
        <v>10</v>
      </c>
      <c r="J15" s="137"/>
      <c r="K15" s="137"/>
      <c r="L15" s="137" t="s">
        <v>10</v>
      </c>
      <c r="M15" s="137"/>
      <c r="N15" s="137"/>
      <c r="O15" s="137"/>
      <c r="P15" s="137"/>
      <c r="Q15" s="4"/>
      <c r="R15" s="141"/>
      <c r="S15" s="4"/>
      <c r="T15" s="4"/>
      <c r="U15" s="4"/>
      <c r="V15" s="4"/>
      <c r="W15" s="4"/>
      <c r="X15" s="4"/>
      <c r="Y15" s="4"/>
      <c r="Z15" s="4"/>
    </row>
    <row r="16" spans="1:26" ht="12.75" customHeight="1" outlineLevel="1" x14ac:dyDescent="0.35">
      <c r="A16" s="137" t="s">
        <v>479</v>
      </c>
      <c r="B16" s="137" t="s">
        <v>480</v>
      </c>
      <c r="C16" s="137" t="s">
        <v>481</v>
      </c>
      <c r="D16" s="139" t="s">
        <v>482</v>
      </c>
      <c r="E16" s="139" t="s">
        <v>483</v>
      </c>
      <c r="F16" s="137" t="s">
        <v>10</v>
      </c>
      <c r="G16" s="137"/>
      <c r="H16" s="137"/>
      <c r="I16" s="137" t="s">
        <v>18</v>
      </c>
      <c r="J16" s="137"/>
      <c r="K16" s="137"/>
      <c r="L16" s="137" t="s">
        <v>10</v>
      </c>
      <c r="M16" s="137"/>
      <c r="N16" s="137"/>
      <c r="O16" s="137"/>
      <c r="P16" s="137"/>
      <c r="Q16" s="4"/>
      <c r="R16" s="141"/>
      <c r="S16" s="4"/>
      <c r="T16" s="4"/>
      <c r="U16" s="4"/>
      <c r="V16" s="4"/>
      <c r="W16" s="4"/>
      <c r="X16" s="4"/>
      <c r="Y16" s="4"/>
      <c r="Z16" s="4"/>
    </row>
    <row r="17" spans="1:26" ht="12.75" customHeight="1" outlineLevel="1" x14ac:dyDescent="0.35">
      <c r="A17" s="137" t="s">
        <v>484</v>
      </c>
      <c r="B17" s="137" t="s">
        <v>485</v>
      </c>
      <c r="C17" s="137" t="s">
        <v>486</v>
      </c>
      <c r="D17" s="139" t="s">
        <v>487</v>
      </c>
      <c r="E17" s="139" t="s">
        <v>488</v>
      </c>
      <c r="F17" s="137" t="s">
        <v>10</v>
      </c>
      <c r="G17" s="137"/>
      <c r="H17" s="137"/>
      <c r="I17" s="137" t="s">
        <v>10</v>
      </c>
      <c r="J17" s="137"/>
      <c r="K17" s="137"/>
      <c r="L17" s="137" t="s">
        <v>10</v>
      </c>
      <c r="M17" s="137"/>
      <c r="N17" s="137"/>
      <c r="O17" s="137"/>
      <c r="P17" s="137"/>
      <c r="Q17" s="4"/>
      <c r="R17" s="141"/>
      <c r="S17" s="4"/>
      <c r="T17" s="4"/>
      <c r="U17" s="4"/>
      <c r="V17" s="4"/>
      <c r="W17" s="4"/>
      <c r="X17" s="4"/>
      <c r="Y17" s="4"/>
      <c r="Z17" s="4"/>
    </row>
    <row r="18" spans="1:26" ht="12.75" customHeight="1" outlineLevel="1" x14ac:dyDescent="0.35">
      <c r="A18" s="137" t="s">
        <v>489</v>
      </c>
      <c r="B18" s="137" t="s">
        <v>490</v>
      </c>
      <c r="C18" s="137" t="s">
        <v>491</v>
      </c>
      <c r="D18" s="139" t="s">
        <v>492</v>
      </c>
      <c r="E18" s="139" t="s">
        <v>493</v>
      </c>
      <c r="F18" s="137" t="s">
        <v>10</v>
      </c>
      <c r="G18" s="137"/>
      <c r="H18" s="137"/>
      <c r="I18" s="137" t="s">
        <v>10</v>
      </c>
      <c r="J18" s="137"/>
      <c r="K18" s="137"/>
      <c r="L18" s="137" t="s">
        <v>10</v>
      </c>
      <c r="M18" s="137"/>
      <c r="N18" s="137"/>
      <c r="O18" s="137"/>
      <c r="P18" s="137"/>
      <c r="Q18" s="4"/>
      <c r="R18" s="141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35">
      <c r="A19" s="133" t="s">
        <v>494</v>
      </c>
      <c r="B19" s="143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5"/>
      <c r="Q19" s="127"/>
      <c r="R19" s="136"/>
      <c r="S19" s="127"/>
      <c r="T19" s="127"/>
      <c r="U19" s="127"/>
      <c r="V19" s="127"/>
      <c r="W19" s="127"/>
      <c r="X19" s="127"/>
      <c r="Y19" s="127"/>
      <c r="Z19" s="127"/>
    </row>
    <row r="20" spans="1:26" ht="12.75" customHeight="1" outlineLevel="1" x14ac:dyDescent="0.35">
      <c r="A20" s="137" t="s">
        <v>495</v>
      </c>
      <c r="B20" s="137" t="s">
        <v>496</v>
      </c>
      <c r="C20" s="137" t="s">
        <v>497</v>
      </c>
      <c r="D20" s="137" t="s">
        <v>498</v>
      </c>
      <c r="E20" s="137" t="s">
        <v>499</v>
      </c>
      <c r="F20" s="151" t="s">
        <v>10</v>
      </c>
      <c r="G20" s="152"/>
      <c r="H20" s="152"/>
      <c r="I20" s="151" t="s">
        <v>10</v>
      </c>
      <c r="J20" s="152"/>
      <c r="K20" s="152"/>
      <c r="L20" s="151" t="s">
        <v>10</v>
      </c>
      <c r="M20" s="137"/>
      <c r="N20" s="137"/>
      <c r="O20" s="137"/>
      <c r="P20" s="137"/>
      <c r="Q20" s="4"/>
      <c r="R20" s="141"/>
      <c r="S20" s="4"/>
      <c r="T20" s="4"/>
      <c r="U20" s="4"/>
      <c r="V20" s="4"/>
      <c r="W20" s="4"/>
      <c r="X20" s="4"/>
      <c r="Y20" s="4"/>
      <c r="Z20" s="4"/>
    </row>
    <row r="21" spans="1:26" ht="12.75" customHeight="1" outlineLevel="1" x14ac:dyDescent="0.35">
      <c r="A21" s="137" t="s">
        <v>500</v>
      </c>
      <c r="B21" s="137" t="s">
        <v>501</v>
      </c>
      <c r="C21" s="137" t="s">
        <v>502</v>
      </c>
      <c r="D21" s="137" t="s">
        <v>503</v>
      </c>
      <c r="E21" s="137" t="s">
        <v>504</v>
      </c>
      <c r="F21" s="151" t="s">
        <v>18</v>
      </c>
      <c r="G21" s="152"/>
      <c r="H21" s="152"/>
      <c r="I21" s="151" t="s">
        <v>10</v>
      </c>
      <c r="J21" s="152"/>
      <c r="K21" s="152"/>
      <c r="L21" s="151" t="s">
        <v>10</v>
      </c>
      <c r="M21" s="153"/>
      <c r="N21" s="153"/>
      <c r="O21" s="153"/>
      <c r="P21" s="153"/>
      <c r="Q21" s="4"/>
      <c r="R21" s="123"/>
      <c r="S21" s="4"/>
      <c r="T21" s="4"/>
      <c r="U21" s="4"/>
      <c r="V21" s="4"/>
      <c r="W21" s="4"/>
      <c r="X21" s="4"/>
      <c r="Y21" s="4"/>
      <c r="Z21" s="4"/>
    </row>
    <row r="22" spans="1:26" ht="12.75" customHeight="1" outlineLevel="1" x14ac:dyDescent="0.35">
      <c r="A22" s="137" t="s">
        <v>505</v>
      </c>
      <c r="B22" s="137" t="s">
        <v>506</v>
      </c>
      <c r="C22" s="137" t="s">
        <v>507</v>
      </c>
      <c r="D22" s="137" t="s">
        <v>508</v>
      </c>
      <c r="E22" s="137" t="s">
        <v>509</v>
      </c>
      <c r="F22" s="151" t="s">
        <v>10</v>
      </c>
      <c r="G22" s="152"/>
      <c r="H22" s="152"/>
      <c r="I22" s="151" t="s">
        <v>10</v>
      </c>
      <c r="J22" s="152"/>
      <c r="K22" s="152"/>
      <c r="L22" s="151" t="s">
        <v>10</v>
      </c>
      <c r="M22" s="153"/>
      <c r="N22" s="153"/>
      <c r="O22" s="153"/>
      <c r="P22" s="153"/>
      <c r="Q22" s="4"/>
      <c r="R22" s="123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5">
      <c r="A23" s="133" t="s">
        <v>510</v>
      </c>
      <c r="B23" s="143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5"/>
      <c r="Q23" s="4"/>
      <c r="R23" s="123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5">
      <c r="A24" s="137" t="s">
        <v>511</v>
      </c>
      <c r="B24" s="137" t="s">
        <v>512</v>
      </c>
      <c r="C24" s="137" t="s">
        <v>513</v>
      </c>
      <c r="D24" s="137" t="s">
        <v>514</v>
      </c>
      <c r="E24" s="137" t="s">
        <v>515</v>
      </c>
      <c r="F24" s="154" t="s">
        <v>10</v>
      </c>
      <c r="G24" s="152"/>
      <c r="H24" s="152"/>
      <c r="I24" s="154" t="s">
        <v>10</v>
      </c>
      <c r="J24" s="152"/>
      <c r="K24" s="152"/>
      <c r="L24" s="154" t="s">
        <v>10</v>
      </c>
      <c r="M24" s="137"/>
      <c r="N24" s="137"/>
      <c r="O24" s="137"/>
      <c r="P24" s="137"/>
      <c r="Q24" s="4"/>
      <c r="R24" s="123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5">
      <c r="A25" s="137" t="s">
        <v>516</v>
      </c>
      <c r="B25" s="137" t="s">
        <v>517</v>
      </c>
      <c r="C25" s="137" t="s">
        <v>518</v>
      </c>
      <c r="D25" s="137" t="s">
        <v>519</v>
      </c>
      <c r="E25" s="137" t="s">
        <v>520</v>
      </c>
      <c r="F25" s="154" t="s">
        <v>10</v>
      </c>
      <c r="G25" s="152"/>
      <c r="H25" s="152"/>
      <c r="I25" s="154" t="s">
        <v>10</v>
      </c>
      <c r="J25" s="152"/>
      <c r="K25" s="152"/>
      <c r="L25" s="154" t="s">
        <v>10</v>
      </c>
      <c r="M25" s="153"/>
      <c r="N25" s="153"/>
      <c r="O25" s="153"/>
      <c r="P25" s="153"/>
      <c r="Q25" s="4"/>
      <c r="R25" s="123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5">
      <c r="A26" s="137" t="s">
        <v>521</v>
      </c>
      <c r="B26" s="137" t="s">
        <v>522</v>
      </c>
      <c r="C26" s="137" t="s">
        <v>523</v>
      </c>
      <c r="D26" s="137" t="s">
        <v>524</v>
      </c>
      <c r="E26" s="137" t="s">
        <v>525</v>
      </c>
      <c r="F26" s="154" t="s">
        <v>18</v>
      </c>
      <c r="G26" s="152"/>
      <c r="H26" s="152"/>
      <c r="I26" s="154" t="s">
        <v>10</v>
      </c>
      <c r="J26" s="152"/>
      <c r="K26" s="152"/>
      <c r="L26" s="154" t="s">
        <v>10</v>
      </c>
      <c r="M26" s="153"/>
      <c r="N26" s="153"/>
      <c r="O26" s="153"/>
      <c r="P26" s="153"/>
      <c r="Q26" s="4"/>
      <c r="R26" s="123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5">
      <c r="A27" s="137" t="s">
        <v>526</v>
      </c>
      <c r="B27" s="137" t="s">
        <v>527</v>
      </c>
      <c r="C27" s="137" t="s">
        <v>528</v>
      </c>
      <c r="D27" s="137" t="s">
        <v>529</v>
      </c>
      <c r="E27" s="137" t="s">
        <v>530</v>
      </c>
      <c r="F27" s="154" t="s">
        <v>10</v>
      </c>
      <c r="G27" s="152"/>
      <c r="H27" s="152"/>
      <c r="I27" s="154" t="s">
        <v>10</v>
      </c>
      <c r="J27" s="152"/>
      <c r="K27" s="152"/>
      <c r="L27" s="154" t="s">
        <v>10</v>
      </c>
      <c r="M27" s="153"/>
      <c r="N27" s="153"/>
      <c r="O27" s="153"/>
      <c r="P27" s="153"/>
      <c r="Q27" s="4"/>
      <c r="R27" s="123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5">
      <c r="A28" s="137" t="s">
        <v>531</v>
      </c>
      <c r="B28" s="137" t="s">
        <v>532</v>
      </c>
      <c r="C28" s="137" t="s">
        <v>533</v>
      </c>
      <c r="D28" s="137" t="s">
        <v>534</v>
      </c>
      <c r="E28" s="137" t="s">
        <v>535</v>
      </c>
      <c r="F28" s="154" t="s">
        <v>10</v>
      </c>
      <c r="G28" s="152"/>
      <c r="H28" s="152"/>
      <c r="I28" s="154" t="s">
        <v>10</v>
      </c>
      <c r="J28" s="152"/>
      <c r="K28" s="152"/>
      <c r="L28" s="154" t="s">
        <v>10</v>
      </c>
      <c r="M28" s="153"/>
      <c r="N28" s="153"/>
      <c r="O28" s="153"/>
      <c r="P28" s="153"/>
      <c r="Q28" s="4"/>
      <c r="R28" s="123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5">
      <c r="A29" s="133" t="s">
        <v>536</v>
      </c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4"/>
      <c r="R29" s="123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5">
      <c r="A30" s="137" t="s">
        <v>537</v>
      </c>
      <c r="B30" s="137" t="s">
        <v>538</v>
      </c>
      <c r="C30" s="137" t="s">
        <v>539</v>
      </c>
      <c r="D30" s="137" t="s">
        <v>540</v>
      </c>
      <c r="E30" s="137" t="s">
        <v>541</v>
      </c>
      <c r="F30" s="154" t="s">
        <v>10</v>
      </c>
      <c r="G30" s="152"/>
      <c r="H30" s="152"/>
      <c r="I30" s="154" t="s">
        <v>10</v>
      </c>
      <c r="J30" s="152"/>
      <c r="K30" s="152"/>
      <c r="L30" s="154" t="s">
        <v>10</v>
      </c>
      <c r="M30" s="137"/>
      <c r="N30" s="137"/>
      <c r="O30" s="137"/>
      <c r="P30" s="137"/>
      <c r="Q30" s="4"/>
      <c r="R30" s="123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5">
      <c r="A31" s="137" t="s">
        <v>542</v>
      </c>
      <c r="B31" s="137" t="s">
        <v>543</v>
      </c>
      <c r="C31" s="137" t="s">
        <v>544</v>
      </c>
      <c r="D31" s="137" t="s">
        <v>545</v>
      </c>
      <c r="E31" s="137" t="s">
        <v>546</v>
      </c>
      <c r="F31" s="154" t="s">
        <v>10</v>
      </c>
      <c r="G31" s="152"/>
      <c r="H31" s="152"/>
      <c r="I31" s="154" t="s">
        <v>18</v>
      </c>
      <c r="J31" s="152"/>
      <c r="K31" s="152"/>
      <c r="L31" s="154" t="s">
        <v>10</v>
      </c>
      <c r="M31" s="153"/>
      <c r="N31" s="153"/>
      <c r="O31" s="153"/>
      <c r="P31" s="153"/>
      <c r="Q31" s="4"/>
      <c r="R31" s="123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5">
      <c r="A32" s="137" t="s">
        <v>547</v>
      </c>
      <c r="B32" s="137" t="s">
        <v>548</v>
      </c>
      <c r="C32" s="137" t="s">
        <v>549</v>
      </c>
      <c r="D32" s="137" t="s">
        <v>550</v>
      </c>
      <c r="E32" s="137" t="s">
        <v>546</v>
      </c>
      <c r="F32" s="154" t="s">
        <v>10</v>
      </c>
      <c r="G32" s="152"/>
      <c r="H32" s="152"/>
      <c r="I32" s="154" t="s">
        <v>10</v>
      </c>
      <c r="J32" s="152"/>
      <c r="K32" s="152"/>
      <c r="L32" s="154" t="s">
        <v>10</v>
      </c>
      <c r="M32" s="153"/>
      <c r="N32" s="153"/>
      <c r="O32" s="153"/>
      <c r="P32" s="153"/>
      <c r="Q32" s="4"/>
      <c r="R32" s="123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5">
      <c r="A33" s="137" t="s">
        <v>551</v>
      </c>
      <c r="B33" s="137" t="s">
        <v>552</v>
      </c>
      <c r="C33" s="137" t="s">
        <v>553</v>
      </c>
      <c r="D33" s="137" t="s">
        <v>554</v>
      </c>
      <c r="E33" s="137" t="s">
        <v>546</v>
      </c>
      <c r="F33" s="154" t="s">
        <v>10</v>
      </c>
      <c r="G33" s="152"/>
      <c r="H33" s="152"/>
      <c r="I33" s="154" t="s">
        <v>18</v>
      </c>
      <c r="J33" s="152"/>
      <c r="K33" s="152"/>
      <c r="L33" s="154" t="s">
        <v>10</v>
      </c>
      <c r="M33" s="153"/>
      <c r="N33" s="153"/>
      <c r="O33" s="153"/>
      <c r="P33" s="153"/>
      <c r="Q33" s="4"/>
      <c r="R33" s="123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5">
      <c r="A34" s="137" t="s">
        <v>555</v>
      </c>
      <c r="B34" s="137" t="s">
        <v>556</v>
      </c>
      <c r="C34" s="137" t="s">
        <v>557</v>
      </c>
      <c r="D34" s="137" t="s">
        <v>558</v>
      </c>
      <c r="E34" s="137" t="s">
        <v>559</v>
      </c>
      <c r="F34" s="154" t="s">
        <v>10</v>
      </c>
      <c r="G34" s="152"/>
      <c r="H34" s="152"/>
      <c r="I34" s="154" t="s">
        <v>10</v>
      </c>
      <c r="J34" s="152"/>
      <c r="K34" s="152"/>
      <c r="L34" s="154" t="s">
        <v>10</v>
      </c>
      <c r="M34" s="153"/>
      <c r="N34" s="153"/>
      <c r="O34" s="153"/>
      <c r="P34" s="153"/>
      <c r="Q34" s="4"/>
      <c r="R34" s="123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123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23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123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123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123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123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123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123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23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23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23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123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123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123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123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123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123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123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123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123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123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123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123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123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123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123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123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123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123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123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123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123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23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123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123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123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123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123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123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123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123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123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123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123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123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123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123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123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123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123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123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123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123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123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123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123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123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123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123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123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123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123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123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23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123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123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123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123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123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23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23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123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123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123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23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123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123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123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23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123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23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123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123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123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123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23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123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123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23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123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123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123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123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123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123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123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123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123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123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123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123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123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123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123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123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123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123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123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123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123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123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123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123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123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123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123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123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123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123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123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123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123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123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123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123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123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123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123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123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123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123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123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123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123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123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123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123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123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123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123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123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123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123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123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123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123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123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123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123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123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123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123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123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123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123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123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123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123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123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123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123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123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123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123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123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123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123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123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123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123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123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123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123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123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123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123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123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123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123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123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123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123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123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123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123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123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123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123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123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123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123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123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123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123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123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123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123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123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123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123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123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123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123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123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123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123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123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123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123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123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123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123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123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123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123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123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123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123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123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123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123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123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123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123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123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123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123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123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123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123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123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123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123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123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123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123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123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123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123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123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123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123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123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123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123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123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123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123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123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123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123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123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123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123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123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123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123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123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123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123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123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123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123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123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123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123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123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123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123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123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123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123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123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123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123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123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123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123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123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123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123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123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123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123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123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123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123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123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123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123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123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123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123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123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123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123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123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123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123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123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123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123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123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123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123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123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123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123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123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123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123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123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123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123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123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123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123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123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123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123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123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123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123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123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123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123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123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123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123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123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123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123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123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123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123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123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123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123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123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123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123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123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123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123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123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123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123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123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123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123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123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123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123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123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123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123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123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123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123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123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123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123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123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123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123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123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123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123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123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123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123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123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123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123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123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123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123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123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123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123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123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123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123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123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123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123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123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123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123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123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123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123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123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123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123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123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123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123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123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123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123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123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123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123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123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123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123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123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123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123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123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123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123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123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123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123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123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123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123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123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123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123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123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123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123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123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123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123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123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123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123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123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123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123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123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123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123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123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123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123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123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123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123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123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123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123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123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123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123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123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123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123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123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123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123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123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123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123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123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123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123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123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123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123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123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123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123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123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123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123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123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123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123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123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123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123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123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123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123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123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123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123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123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123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123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123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123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123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123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123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123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123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123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123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123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123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123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123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123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123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123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123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123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123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123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123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123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123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123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123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123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123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123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123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123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123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123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123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123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123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123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123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123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123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123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123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123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123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123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123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123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123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123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123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123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123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123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123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123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123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123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123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123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123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123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123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123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123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123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123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123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123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123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123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123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123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123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123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123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123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123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123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123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123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123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123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123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123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123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123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123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123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123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123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123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123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123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123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123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123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123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123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123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123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123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123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123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123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123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123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123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123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123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123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123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123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123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123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123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123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123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123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123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123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123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123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123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123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123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123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123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123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123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123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123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123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123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123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123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123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123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123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123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123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123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123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123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123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123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123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123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123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123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123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123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123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123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123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123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123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123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123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123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123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123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123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123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123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123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123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123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123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123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123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123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123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123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123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123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123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123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123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123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123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123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123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123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123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123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123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123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123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123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123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123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123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123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123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123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123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123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123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123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123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123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123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123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123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123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123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123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123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123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123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123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123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123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123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123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123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123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123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123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123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123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123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123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123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123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123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123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123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123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123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123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123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123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123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123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123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123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123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123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123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123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123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123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123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123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123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123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123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123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123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123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123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123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123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123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123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123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123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123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123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123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123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123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123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123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123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123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123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123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123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123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123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123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123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123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123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123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123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123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123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123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123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123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123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123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123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123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123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123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123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123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123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123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123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123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123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123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123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123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123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123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123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123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123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123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123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123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123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123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123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123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123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123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123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123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123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123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123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123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123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123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123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123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123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123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123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123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123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123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123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123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123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123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123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123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123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123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123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123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123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123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123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123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123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123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123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123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123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123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123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123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123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123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123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123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123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123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123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123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123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123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123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123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123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123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123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123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123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123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123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123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123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123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123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123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123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123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123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123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123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123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123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123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123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123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123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123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123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123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123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123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123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123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123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123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123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123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123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123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123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123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123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123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123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123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123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123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123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123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123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123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123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123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123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123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123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123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123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123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123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123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123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123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123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123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123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123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123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123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123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123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123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123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123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123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123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123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123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123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123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123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123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123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123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123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123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123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123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123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123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123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123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123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123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123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123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123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123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123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123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123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123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123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123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123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123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123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123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123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123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123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123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123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123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123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123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123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123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123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123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123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123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123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 x14ac:dyDescent="0.3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123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 x14ac:dyDescent="0.3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123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 x14ac:dyDescent="0.3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123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 x14ac:dyDescent="0.3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123"/>
      <c r="S1005" s="4"/>
      <c r="T1005" s="4"/>
      <c r="U1005" s="4"/>
      <c r="V1005" s="4"/>
      <c r="W1005" s="4"/>
      <c r="X1005" s="4"/>
      <c r="Y1005" s="4"/>
      <c r="Z1005" s="4"/>
    </row>
    <row r="1006" spans="1:26" ht="12.75" customHeight="1" x14ac:dyDescent="0.3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123"/>
      <c r="S1006" s="4"/>
      <c r="T1006" s="4"/>
      <c r="U1006" s="4"/>
      <c r="V1006" s="4"/>
      <c r="W1006" s="4"/>
      <c r="X1006" s="4"/>
      <c r="Y1006" s="4"/>
      <c r="Z1006" s="4"/>
    </row>
    <row r="1007" spans="1:26" ht="12.75" customHeight="1" x14ac:dyDescent="0.3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123"/>
      <c r="S1007" s="4"/>
      <c r="T1007" s="4"/>
      <c r="U1007" s="4"/>
      <c r="V1007" s="4"/>
      <c r="W1007" s="4"/>
      <c r="X1007" s="4"/>
      <c r="Y1007" s="4"/>
      <c r="Z1007" s="4"/>
    </row>
    <row r="1008" spans="1:26" ht="12.75" customHeight="1" x14ac:dyDescent="0.3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123"/>
      <c r="S1008" s="4"/>
      <c r="T1008" s="4"/>
      <c r="U1008" s="4"/>
      <c r="V1008" s="4"/>
      <c r="W1008" s="4"/>
      <c r="X1008" s="4"/>
      <c r="Y1008" s="4"/>
      <c r="Z1008" s="4"/>
    </row>
    <row r="1009" spans="1:26" ht="12.75" customHeight="1" x14ac:dyDescent="0.3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123"/>
      <c r="S1009" s="4"/>
      <c r="T1009" s="4"/>
      <c r="U1009" s="4"/>
      <c r="V1009" s="4"/>
      <c r="W1009" s="4"/>
      <c r="X1009" s="4"/>
      <c r="Y1009" s="4"/>
      <c r="Z1009" s="4"/>
    </row>
    <row r="1010" spans="1:26" ht="12.75" customHeight="1" x14ac:dyDescent="0.3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123"/>
      <c r="S1010" s="4"/>
      <c r="T1010" s="4"/>
      <c r="U1010" s="4"/>
      <c r="V1010" s="4"/>
      <c r="W1010" s="4"/>
      <c r="X1010" s="4"/>
      <c r="Y1010" s="4"/>
      <c r="Z1010" s="4"/>
    </row>
    <row r="1011" spans="1:26" ht="12.75" customHeight="1" x14ac:dyDescent="0.3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123"/>
      <c r="S1011" s="4"/>
      <c r="T1011" s="4"/>
      <c r="U1011" s="4"/>
      <c r="V1011" s="4"/>
      <c r="W1011" s="4"/>
      <c r="X1011" s="4"/>
      <c r="Y1011" s="4"/>
      <c r="Z1011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34 I12:I34 L12:L34 G35:G156 J35:J156 M35:M156" xr:uid="{00000000-0002-0000-0800-000000000000}">
      <formula1>$S$2:$S$5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 x14ac:dyDescent="0.25"/>
  <cols>
    <col min="1" max="1" width="14" customWidth="1"/>
    <col min="2" max="2" width="28" customWidth="1"/>
    <col min="3" max="4" width="18" customWidth="1"/>
    <col min="5" max="5" width="26.59765625" customWidth="1"/>
    <col min="6" max="6" width="26" customWidth="1"/>
    <col min="7" max="7" width="32" customWidth="1"/>
    <col min="8" max="8" width="10" customWidth="1"/>
    <col min="9" max="9" width="12" customWidth="1"/>
    <col min="10" max="10" width="22" customWidth="1"/>
    <col min="11" max="26" width="8.59765625" customWidth="1"/>
  </cols>
  <sheetData>
    <row r="1" spans="1:26" ht="14.25" customHeight="1" x14ac:dyDescent="0.45">
      <c r="A1" s="155" t="s">
        <v>58</v>
      </c>
      <c r="B1" s="155" t="s">
        <v>560</v>
      </c>
      <c r="C1" s="155" t="s">
        <v>561</v>
      </c>
      <c r="D1" s="155" t="s">
        <v>562</v>
      </c>
      <c r="E1" s="155" t="s">
        <v>563</v>
      </c>
      <c r="F1" s="155" t="s">
        <v>564</v>
      </c>
      <c r="G1" s="155" t="s">
        <v>565</v>
      </c>
      <c r="H1" s="155" t="s">
        <v>566</v>
      </c>
      <c r="I1" s="155" t="s">
        <v>567</v>
      </c>
      <c r="J1" s="155" t="s">
        <v>34</v>
      </c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 spans="1:26" ht="33" customHeight="1" x14ac:dyDescent="0.45">
      <c r="A2" s="157" t="s">
        <v>568</v>
      </c>
      <c r="B2" s="157" t="s">
        <v>569</v>
      </c>
      <c r="C2" s="157" t="s">
        <v>570</v>
      </c>
      <c r="D2" s="157" t="s">
        <v>571</v>
      </c>
      <c r="E2" s="157" t="s">
        <v>572</v>
      </c>
      <c r="F2" s="157" t="s">
        <v>573</v>
      </c>
      <c r="G2" s="157" t="s">
        <v>574</v>
      </c>
      <c r="H2" s="157" t="s">
        <v>575</v>
      </c>
      <c r="I2" s="157"/>
      <c r="J2" s="157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 spans="1:26" ht="14.25" customHeight="1" x14ac:dyDescent="0.45">
      <c r="A3" s="157" t="s">
        <v>576</v>
      </c>
      <c r="B3" s="157" t="s">
        <v>577</v>
      </c>
      <c r="C3" s="157" t="s">
        <v>578</v>
      </c>
      <c r="D3" s="157" t="s">
        <v>571</v>
      </c>
      <c r="E3" s="157" t="s">
        <v>579</v>
      </c>
      <c r="F3" s="157" t="s">
        <v>580</v>
      </c>
      <c r="G3" s="157" t="s">
        <v>581</v>
      </c>
      <c r="H3" s="157" t="s">
        <v>575</v>
      </c>
      <c r="I3" s="157"/>
      <c r="J3" s="157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 spans="1:26" ht="14.25" customHeight="1" x14ac:dyDescent="0.45">
      <c r="A4" s="157" t="s">
        <v>582</v>
      </c>
      <c r="B4" s="157" t="s">
        <v>583</v>
      </c>
      <c r="C4" s="157" t="s">
        <v>584</v>
      </c>
      <c r="D4" s="157" t="s">
        <v>585</v>
      </c>
      <c r="E4" s="157" t="s">
        <v>586</v>
      </c>
      <c r="F4" s="157" t="s">
        <v>587</v>
      </c>
      <c r="G4" s="157" t="s">
        <v>588</v>
      </c>
      <c r="H4" s="157" t="s">
        <v>575</v>
      </c>
      <c r="I4" s="157"/>
      <c r="J4" s="157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 spans="1:26" ht="14.25" customHeight="1" x14ac:dyDescent="0.45">
      <c r="A5" s="157" t="s">
        <v>589</v>
      </c>
      <c r="B5" s="157" t="s">
        <v>590</v>
      </c>
      <c r="C5" s="157" t="s">
        <v>591</v>
      </c>
      <c r="D5" s="157" t="s">
        <v>592</v>
      </c>
      <c r="E5" s="157" t="s">
        <v>593</v>
      </c>
      <c r="F5" s="157" t="s">
        <v>594</v>
      </c>
      <c r="G5" s="157" t="s">
        <v>595</v>
      </c>
      <c r="H5" s="157" t="s">
        <v>575</v>
      </c>
      <c r="I5" s="157"/>
      <c r="J5" s="157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 spans="1:26" ht="14.25" customHeight="1" x14ac:dyDescent="0.45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 spans="1:26" ht="14.25" customHeight="1" x14ac:dyDescent="0.45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 spans="1:26" ht="14.25" customHeight="1" x14ac:dyDescent="0.45">
      <c r="A8" s="159"/>
      <c r="B8" s="159"/>
      <c r="C8" s="159"/>
      <c r="D8" s="159"/>
      <c r="E8" s="159"/>
      <c r="F8" s="159"/>
      <c r="G8" s="159"/>
      <c r="H8" s="159"/>
      <c r="I8" s="159"/>
      <c r="J8" s="159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spans="1:26" ht="14.25" customHeight="1" x14ac:dyDescent="0.45">
      <c r="A9" s="159"/>
      <c r="B9" s="159"/>
      <c r="C9" s="159"/>
      <c r="D9" s="159"/>
      <c r="E9" s="159"/>
      <c r="F9" s="159"/>
      <c r="G9" s="159"/>
      <c r="H9" s="159"/>
      <c r="I9" s="159"/>
      <c r="J9" s="159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 spans="1:26" ht="14.25" customHeight="1" x14ac:dyDescent="0.45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 spans="1:26" ht="14.25" customHeight="1" x14ac:dyDescent="0.45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 spans="1:26" ht="14.25" customHeight="1" x14ac:dyDescent="0.45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 spans="1:26" ht="14.25" customHeight="1" x14ac:dyDescent="0.45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 spans="1:26" ht="14.25" customHeight="1" x14ac:dyDescent="0.45">
      <c r="A14" s="159"/>
      <c r="B14" s="159"/>
      <c r="C14" s="159"/>
      <c r="D14" s="159"/>
      <c r="E14" s="159"/>
      <c r="F14" s="159"/>
      <c r="G14" s="159"/>
      <c r="H14" s="159"/>
      <c r="I14" s="159"/>
      <c r="J14" s="159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 spans="1:26" ht="14.25" customHeight="1" x14ac:dyDescent="0.45">
      <c r="A15" s="159"/>
      <c r="B15" s="159"/>
      <c r="C15" s="159"/>
      <c r="D15" s="159"/>
      <c r="E15" s="159"/>
      <c r="F15" s="159"/>
      <c r="G15" s="159"/>
      <c r="H15" s="159"/>
      <c r="I15" s="159"/>
      <c r="J15" s="159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 spans="1:26" ht="14.25" customHeight="1" x14ac:dyDescent="0.45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 spans="1:26" ht="14.25" customHeight="1" x14ac:dyDescent="0.45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 spans="1:26" ht="14.25" customHeight="1" x14ac:dyDescent="0.45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</row>
    <row r="19" spans="1:26" ht="14.25" customHeight="1" x14ac:dyDescent="0.45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 spans="1:26" ht="14.25" customHeight="1" x14ac:dyDescent="0.45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 spans="1:26" ht="14.25" customHeight="1" x14ac:dyDescent="0.45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 spans="1:26" ht="14.25" customHeight="1" x14ac:dyDescent="0.45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 spans="1:26" ht="14.25" customHeight="1" x14ac:dyDescent="0.45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 spans="1:26" ht="14.25" customHeight="1" x14ac:dyDescent="0.45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 spans="1:26" ht="14.25" customHeight="1" x14ac:dyDescent="0.45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 spans="1:26" ht="14.25" customHeight="1" x14ac:dyDescent="0.45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 spans="1:26" ht="14.25" customHeight="1" x14ac:dyDescent="0.45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 spans="1:26" ht="14.25" customHeight="1" x14ac:dyDescent="0.45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 spans="1:26" ht="14.25" customHeight="1" x14ac:dyDescent="0.45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 spans="1:26" ht="14.25" customHeight="1" x14ac:dyDescent="0.45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 spans="1:26" ht="14.25" customHeight="1" x14ac:dyDescent="0.45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 spans="1:26" ht="14.25" customHeight="1" x14ac:dyDescent="0.45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 spans="1:26" ht="14.25" customHeight="1" x14ac:dyDescent="0.45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 spans="1:26" ht="14.25" customHeight="1" x14ac:dyDescent="0.45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 spans="1:26" ht="14.25" customHeight="1" x14ac:dyDescent="0.45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 spans="1:26" ht="14.25" customHeight="1" x14ac:dyDescent="0.45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 spans="1:26" ht="14.25" customHeight="1" x14ac:dyDescent="0.45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 spans="1:26" ht="14.25" customHeight="1" x14ac:dyDescent="0.45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 spans="1:26" ht="14.25" customHeight="1" x14ac:dyDescent="0.4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 spans="1:26" ht="14.25" customHeight="1" x14ac:dyDescent="0.45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 spans="1:26" ht="14.25" customHeight="1" x14ac:dyDescent="0.45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 spans="1:26" ht="14.25" customHeight="1" x14ac:dyDescent="0.45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 spans="1:26" ht="14.25" customHeight="1" x14ac:dyDescent="0.45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 spans="1:26" ht="14.25" customHeight="1" x14ac:dyDescent="0.45">
      <c r="A44" s="156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 spans="1:26" ht="14.25" customHeight="1" x14ac:dyDescent="0.45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 spans="1:26" ht="14.25" customHeight="1" x14ac:dyDescent="0.45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 spans="1:26" ht="14.25" customHeight="1" x14ac:dyDescent="0.45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 spans="1:26" ht="14.25" customHeight="1" x14ac:dyDescent="0.45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 spans="1:26" ht="14.25" customHeight="1" x14ac:dyDescent="0.45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 spans="1:26" ht="14.25" customHeight="1" x14ac:dyDescent="0.45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 spans="1:26" ht="14.25" customHeight="1" x14ac:dyDescent="0.45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 spans="1:26" ht="14.25" customHeight="1" x14ac:dyDescent="0.45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 spans="1:26" ht="14.25" customHeight="1" x14ac:dyDescent="0.45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 spans="1:26" ht="14.25" customHeight="1" x14ac:dyDescent="0.45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 spans="1:26" ht="14.25" customHeight="1" x14ac:dyDescent="0.45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 spans="1:26" ht="14.25" customHeight="1" x14ac:dyDescent="0.45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 spans="1:26" ht="14.25" customHeight="1" x14ac:dyDescent="0.45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 spans="1:26" ht="14.25" customHeight="1" x14ac:dyDescent="0.45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 spans="1:26" ht="14.25" customHeight="1" x14ac:dyDescent="0.45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 spans="1:26" ht="14.25" customHeight="1" x14ac:dyDescent="0.45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 spans="1:26" ht="14.25" customHeight="1" x14ac:dyDescent="0.45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 spans="1:26" ht="14.25" customHeight="1" x14ac:dyDescent="0.45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 spans="1:26" ht="14.25" customHeight="1" x14ac:dyDescent="0.45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 spans="1:26" ht="14.25" customHeight="1" x14ac:dyDescent="0.45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 spans="1:26" ht="14.25" customHeight="1" x14ac:dyDescent="0.45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 spans="1:26" ht="14.25" customHeight="1" x14ac:dyDescent="0.45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 spans="1:26" ht="14.25" customHeight="1" x14ac:dyDescent="0.45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 spans="1:26" ht="14.25" customHeight="1" x14ac:dyDescent="0.45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 spans="1:26" ht="14.25" customHeight="1" x14ac:dyDescent="0.45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 spans="1:26" ht="14.25" customHeight="1" x14ac:dyDescent="0.45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 spans="1:26" ht="14.25" customHeight="1" x14ac:dyDescent="0.45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 spans="1:26" ht="14.25" customHeight="1" x14ac:dyDescent="0.45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 spans="1:26" ht="14.25" customHeight="1" x14ac:dyDescent="0.45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 spans="1:26" ht="14.25" customHeight="1" x14ac:dyDescent="0.45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 spans="1:26" ht="14.25" customHeight="1" x14ac:dyDescent="0.45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 spans="1:26" ht="14.25" customHeight="1" x14ac:dyDescent="0.45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 spans="1:26" ht="14.25" customHeight="1" x14ac:dyDescent="0.45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 spans="1:26" ht="14.25" customHeight="1" x14ac:dyDescent="0.45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 spans="1:26" ht="14.25" customHeight="1" x14ac:dyDescent="0.45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 spans="1:26" ht="14.25" customHeight="1" x14ac:dyDescent="0.45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 spans="1:26" ht="14.25" customHeight="1" x14ac:dyDescent="0.45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 spans="1:26" ht="14.25" customHeight="1" x14ac:dyDescent="0.45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 spans="1:26" ht="14.25" customHeight="1" x14ac:dyDescent="0.45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 spans="1:26" ht="14.25" customHeight="1" x14ac:dyDescent="0.45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 spans="1:26" ht="14.25" customHeight="1" x14ac:dyDescent="0.45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 spans="1:26" ht="14.25" customHeight="1" x14ac:dyDescent="0.45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 spans="1:26" ht="14.25" customHeight="1" x14ac:dyDescent="0.45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 spans="1:26" ht="14.25" customHeight="1" x14ac:dyDescent="0.45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 spans="1:26" ht="14.25" customHeight="1" x14ac:dyDescent="0.45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 spans="1:26" ht="14.25" customHeight="1" x14ac:dyDescent="0.45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 spans="1:26" ht="14.25" customHeight="1" x14ac:dyDescent="0.45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 spans="1:26" ht="14.25" customHeight="1" x14ac:dyDescent="0.45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 spans="1:26" ht="14.25" customHeight="1" x14ac:dyDescent="0.45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 spans="1:26" ht="14.25" customHeight="1" x14ac:dyDescent="0.45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 spans="1:26" ht="14.25" customHeight="1" x14ac:dyDescent="0.45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 spans="1:26" ht="14.25" customHeight="1" x14ac:dyDescent="0.45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 spans="1:26" ht="14.25" customHeight="1" x14ac:dyDescent="0.45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 spans="1:26" ht="14.25" customHeight="1" x14ac:dyDescent="0.45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 spans="1:26" ht="14.25" customHeight="1" x14ac:dyDescent="0.45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 spans="1:26" ht="14.25" customHeight="1" x14ac:dyDescent="0.45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 spans="1:26" ht="14.25" customHeight="1" x14ac:dyDescent="0.45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 spans="1:26" ht="14.25" customHeight="1" x14ac:dyDescent="0.45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 spans="1:26" ht="14.25" customHeight="1" x14ac:dyDescent="0.45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 spans="1:26" ht="14.25" customHeight="1" x14ac:dyDescent="0.45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 spans="1:26" ht="14.25" customHeight="1" x14ac:dyDescent="0.45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 spans="1:26" ht="14.25" customHeight="1" x14ac:dyDescent="0.45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 spans="1:26" ht="14.25" customHeight="1" x14ac:dyDescent="0.45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 spans="1:26" ht="14.25" customHeight="1" x14ac:dyDescent="0.45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 spans="1:26" ht="14.25" customHeight="1" x14ac:dyDescent="0.45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 spans="1:26" ht="14.25" customHeight="1" x14ac:dyDescent="0.45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 spans="1:26" ht="14.25" customHeight="1" x14ac:dyDescent="0.45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 spans="1:26" ht="14.25" customHeight="1" x14ac:dyDescent="0.45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 spans="1:26" ht="14.25" customHeight="1" x14ac:dyDescent="0.45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 spans="1:26" ht="14.25" customHeight="1" x14ac:dyDescent="0.45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 spans="1:26" ht="14.25" customHeight="1" x14ac:dyDescent="0.45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 spans="1:26" ht="14.25" customHeight="1" x14ac:dyDescent="0.45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 spans="1:26" ht="14.25" customHeight="1" x14ac:dyDescent="0.45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 spans="1:26" ht="14.25" customHeight="1" x14ac:dyDescent="0.45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 spans="1:26" ht="14.25" customHeight="1" x14ac:dyDescent="0.45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 spans="1:26" ht="14.25" customHeight="1" x14ac:dyDescent="0.45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 spans="1:26" ht="14.25" customHeight="1" x14ac:dyDescent="0.45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 spans="1:26" ht="14.25" customHeight="1" x14ac:dyDescent="0.45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 spans="1:26" ht="14.25" customHeight="1" x14ac:dyDescent="0.45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 spans="1:26" ht="14.25" customHeight="1" x14ac:dyDescent="0.45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 spans="1:26" ht="14.25" customHeight="1" x14ac:dyDescent="0.45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 spans="1:26" ht="14.25" customHeight="1" x14ac:dyDescent="0.45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 spans="1:26" ht="14.25" customHeight="1" x14ac:dyDescent="0.45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 spans="1:26" ht="14.25" customHeight="1" x14ac:dyDescent="0.45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 spans="1:26" ht="14.25" customHeight="1" x14ac:dyDescent="0.45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 spans="1:26" ht="14.25" customHeight="1" x14ac:dyDescent="0.45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 spans="1:26" ht="14.25" customHeight="1" x14ac:dyDescent="0.45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 spans="1:26" ht="14.25" customHeight="1" x14ac:dyDescent="0.45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 spans="1:26" ht="14.25" customHeight="1" x14ac:dyDescent="0.45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 spans="1:26" ht="14.25" customHeight="1" x14ac:dyDescent="0.45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 spans="1:26" ht="14.25" customHeight="1" x14ac:dyDescent="0.45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 spans="1:26" ht="14.25" customHeight="1" x14ac:dyDescent="0.45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 spans="1:26" ht="14.25" customHeight="1" x14ac:dyDescent="0.45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 spans="1:26" ht="14.25" customHeight="1" x14ac:dyDescent="0.45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 spans="1:26" ht="14.25" customHeight="1" x14ac:dyDescent="0.45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 spans="1:26" ht="14.25" customHeight="1" x14ac:dyDescent="0.45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 spans="1:26" ht="14.25" customHeight="1" x14ac:dyDescent="0.45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 spans="1:26" ht="14.25" customHeight="1" x14ac:dyDescent="0.45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 spans="1:26" ht="14.25" customHeight="1" x14ac:dyDescent="0.45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 spans="1:26" ht="14.25" customHeight="1" x14ac:dyDescent="0.45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 spans="1:26" ht="14.25" customHeight="1" x14ac:dyDescent="0.45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 spans="1:26" ht="14.25" customHeight="1" x14ac:dyDescent="0.45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 spans="1:26" ht="14.25" customHeight="1" x14ac:dyDescent="0.45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 spans="1:26" ht="14.25" customHeight="1" x14ac:dyDescent="0.45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 spans="1:26" ht="14.25" customHeight="1" x14ac:dyDescent="0.45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 spans="1:26" ht="14.25" customHeight="1" x14ac:dyDescent="0.45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 spans="1:26" ht="14.25" customHeight="1" x14ac:dyDescent="0.45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 spans="1:26" ht="14.25" customHeight="1" x14ac:dyDescent="0.45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 spans="1:26" ht="14.25" customHeight="1" x14ac:dyDescent="0.45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 spans="1:26" ht="14.25" customHeight="1" x14ac:dyDescent="0.45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 spans="1:26" ht="14.25" customHeight="1" x14ac:dyDescent="0.45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 spans="1:26" ht="14.25" customHeight="1" x14ac:dyDescent="0.45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 spans="1:26" ht="14.25" customHeight="1" x14ac:dyDescent="0.45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 spans="1:26" ht="14.25" customHeight="1" x14ac:dyDescent="0.45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 spans="1:26" ht="14.25" customHeight="1" x14ac:dyDescent="0.45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 spans="1:26" ht="14.25" customHeight="1" x14ac:dyDescent="0.45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 spans="1:26" ht="14.25" customHeight="1" x14ac:dyDescent="0.45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 spans="1:26" ht="14.25" customHeight="1" x14ac:dyDescent="0.45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 spans="1:26" ht="14.25" customHeight="1" x14ac:dyDescent="0.45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 spans="1:26" ht="14.25" customHeight="1" x14ac:dyDescent="0.45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 spans="1:26" ht="14.25" customHeight="1" x14ac:dyDescent="0.45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 spans="1:26" ht="14.25" customHeight="1" x14ac:dyDescent="0.45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 spans="1:26" ht="14.25" customHeight="1" x14ac:dyDescent="0.45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 spans="1:26" ht="14.25" customHeight="1" x14ac:dyDescent="0.45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 spans="1:26" ht="14.25" customHeight="1" x14ac:dyDescent="0.45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 spans="1:26" ht="14.25" customHeight="1" x14ac:dyDescent="0.45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 spans="1:26" ht="14.25" customHeight="1" x14ac:dyDescent="0.45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 spans="1:26" ht="14.25" customHeight="1" x14ac:dyDescent="0.45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 spans="1:26" ht="14.25" customHeight="1" x14ac:dyDescent="0.45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 spans="1:26" ht="14.25" customHeight="1" x14ac:dyDescent="0.45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 spans="1:26" ht="14.25" customHeight="1" x14ac:dyDescent="0.45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 spans="1:26" ht="14.25" customHeight="1" x14ac:dyDescent="0.45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 spans="1:26" ht="14.25" customHeight="1" x14ac:dyDescent="0.45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 spans="1:26" ht="14.25" customHeight="1" x14ac:dyDescent="0.45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 spans="1:26" ht="14.25" customHeight="1" x14ac:dyDescent="0.45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 spans="1:26" ht="14.25" customHeight="1" x14ac:dyDescent="0.45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 spans="1:26" ht="14.25" customHeight="1" x14ac:dyDescent="0.45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 spans="1:26" ht="14.25" customHeight="1" x14ac:dyDescent="0.45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 spans="1:26" ht="14.25" customHeight="1" x14ac:dyDescent="0.45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 spans="1:26" ht="14.25" customHeight="1" x14ac:dyDescent="0.45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 spans="1:26" ht="14.25" customHeight="1" x14ac:dyDescent="0.45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 spans="1:26" ht="14.25" customHeight="1" x14ac:dyDescent="0.45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 spans="1:26" ht="14.25" customHeight="1" x14ac:dyDescent="0.45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 spans="1:26" ht="14.25" customHeight="1" x14ac:dyDescent="0.45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 spans="1:26" ht="14.25" customHeight="1" x14ac:dyDescent="0.45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 spans="1:26" ht="14.25" customHeight="1" x14ac:dyDescent="0.45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 spans="1:26" ht="14.25" customHeight="1" x14ac:dyDescent="0.45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 spans="1:26" ht="14.25" customHeight="1" x14ac:dyDescent="0.45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 spans="1:26" ht="14.25" customHeight="1" x14ac:dyDescent="0.45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 spans="1:26" ht="14.25" customHeight="1" x14ac:dyDescent="0.45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 spans="1:26" ht="14.25" customHeight="1" x14ac:dyDescent="0.45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 spans="1:26" ht="14.25" customHeight="1" x14ac:dyDescent="0.45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 spans="1:26" ht="14.25" customHeight="1" x14ac:dyDescent="0.45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 spans="1:26" ht="14.25" customHeight="1" x14ac:dyDescent="0.45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 spans="1:26" ht="14.25" customHeight="1" x14ac:dyDescent="0.45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 spans="1:26" ht="14.25" customHeight="1" x14ac:dyDescent="0.45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 spans="1:26" ht="14.25" customHeight="1" x14ac:dyDescent="0.45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 spans="1:26" ht="14.25" customHeight="1" x14ac:dyDescent="0.45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 spans="1:26" ht="14.25" customHeight="1" x14ac:dyDescent="0.45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 spans="1:26" ht="14.25" customHeight="1" x14ac:dyDescent="0.45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 spans="1:26" ht="14.25" customHeight="1" x14ac:dyDescent="0.45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 spans="1:26" ht="14.25" customHeight="1" x14ac:dyDescent="0.45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 spans="1:26" ht="14.25" customHeight="1" x14ac:dyDescent="0.45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 spans="1:26" ht="14.25" customHeight="1" x14ac:dyDescent="0.45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 spans="1:26" ht="14.25" customHeight="1" x14ac:dyDescent="0.45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 spans="1:26" ht="14.25" customHeight="1" x14ac:dyDescent="0.45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 spans="1:26" ht="14.25" customHeight="1" x14ac:dyDescent="0.45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 spans="1:26" ht="14.25" customHeight="1" x14ac:dyDescent="0.45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 spans="1:26" ht="14.25" customHeight="1" x14ac:dyDescent="0.45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 spans="1:26" ht="14.25" customHeight="1" x14ac:dyDescent="0.45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 spans="1:26" ht="14.25" customHeight="1" x14ac:dyDescent="0.45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 spans="1:26" ht="14.25" customHeight="1" x14ac:dyDescent="0.45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 spans="1:26" ht="14.25" customHeight="1" x14ac:dyDescent="0.45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 spans="1:26" ht="14.25" customHeight="1" x14ac:dyDescent="0.45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 spans="1:26" ht="14.25" customHeight="1" x14ac:dyDescent="0.45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 spans="1:26" ht="14.25" customHeight="1" x14ac:dyDescent="0.45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 spans="1:26" ht="14.25" customHeight="1" x14ac:dyDescent="0.45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 spans="1:26" ht="14.25" customHeight="1" x14ac:dyDescent="0.45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 spans="1:26" ht="14.25" customHeight="1" x14ac:dyDescent="0.45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 spans="1:26" ht="14.25" customHeight="1" x14ac:dyDescent="0.45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 spans="1:26" ht="14.25" customHeight="1" x14ac:dyDescent="0.4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 spans="1:26" ht="14.25" customHeight="1" x14ac:dyDescent="0.45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 spans="1:26" ht="14.25" customHeight="1" x14ac:dyDescent="0.45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 spans="1:26" ht="14.25" customHeight="1" x14ac:dyDescent="0.45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 spans="1:26" ht="14.25" customHeight="1" x14ac:dyDescent="0.45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 spans="1:26" ht="14.25" customHeight="1" x14ac:dyDescent="0.45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 spans="1:26" ht="14.25" customHeight="1" x14ac:dyDescent="0.45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 spans="1:26" ht="14.25" customHeight="1" x14ac:dyDescent="0.45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 spans="1:26" ht="14.25" customHeight="1" x14ac:dyDescent="0.45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 spans="1:26" ht="14.25" customHeight="1" x14ac:dyDescent="0.45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 spans="1:26" ht="14.25" customHeight="1" x14ac:dyDescent="0.4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 spans="1:26" ht="14.25" customHeight="1" x14ac:dyDescent="0.45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 spans="1:26" ht="14.25" customHeight="1" x14ac:dyDescent="0.45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 spans="1:26" ht="14.25" customHeight="1" x14ac:dyDescent="0.45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 spans="1:26" ht="14.25" customHeight="1" x14ac:dyDescent="0.45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 spans="1:26" ht="14.25" customHeight="1" x14ac:dyDescent="0.45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 spans="1:26" ht="14.25" customHeight="1" x14ac:dyDescent="0.45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 spans="1:26" ht="14.25" customHeight="1" x14ac:dyDescent="0.45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 spans="1:26" ht="14.25" customHeight="1" x14ac:dyDescent="0.45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 spans="1:26" ht="14.25" customHeight="1" x14ac:dyDescent="0.45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 spans="1:26" ht="14.25" customHeight="1" x14ac:dyDescent="0.45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 spans="1:26" ht="14.25" customHeight="1" x14ac:dyDescent="0.45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 spans="1:26" ht="14.25" customHeight="1" x14ac:dyDescent="0.45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 spans="1:26" ht="14.25" customHeight="1" x14ac:dyDescent="0.45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 spans="1:26" ht="14.25" customHeight="1" x14ac:dyDescent="0.45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 spans="1:26" ht="14.25" customHeight="1" x14ac:dyDescent="0.45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 spans="1:26" ht="14.25" customHeight="1" x14ac:dyDescent="0.45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 spans="1:26" ht="14.25" customHeight="1" x14ac:dyDescent="0.45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 spans="1:26" ht="14.25" customHeight="1" x14ac:dyDescent="0.45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 spans="1:26" ht="14.25" customHeight="1" x14ac:dyDescent="0.45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 spans="1:26" ht="14.25" customHeight="1" x14ac:dyDescent="0.45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 spans="1:26" ht="14.25" customHeight="1" x14ac:dyDescent="0.45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 spans="1:26" ht="14.25" customHeight="1" x14ac:dyDescent="0.45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 spans="1:26" ht="14.25" customHeight="1" x14ac:dyDescent="0.45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 spans="1:26" ht="14.25" customHeight="1" x14ac:dyDescent="0.45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 spans="1:26" ht="14.25" customHeight="1" x14ac:dyDescent="0.45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 spans="1:26" ht="14.25" customHeight="1" x14ac:dyDescent="0.45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 spans="1:26" ht="14.25" customHeight="1" x14ac:dyDescent="0.45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 spans="1:26" ht="14.25" customHeight="1" x14ac:dyDescent="0.45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 spans="1:26" ht="14.25" customHeight="1" x14ac:dyDescent="0.45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 spans="1:26" ht="14.25" customHeight="1" x14ac:dyDescent="0.4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 spans="1:26" ht="14.25" customHeight="1" x14ac:dyDescent="0.45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 spans="1:26" ht="14.25" customHeight="1" x14ac:dyDescent="0.45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 spans="1:26" ht="14.25" customHeight="1" x14ac:dyDescent="0.45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 spans="1:26" ht="14.25" customHeight="1" x14ac:dyDescent="0.45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 spans="1:26" ht="14.25" customHeight="1" x14ac:dyDescent="0.45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 spans="1:26" ht="14.25" customHeight="1" x14ac:dyDescent="0.45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 spans="1:26" ht="14.25" customHeight="1" x14ac:dyDescent="0.45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 spans="1:26" ht="14.25" customHeight="1" x14ac:dyDescent="0.45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 spans="1:26" ht="14.25" customHeight="1" x14ac:dyDescent="0.45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 spans="1:26" ht="14.25" customHeight="1" x14ac:dyDescent="0.4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 spans="1:26" ht="14.25" customHeight="1" x14ac:dyDescent="0.45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 spans="1:26" ht="14.25" customHeight="1" x14ac:dyDescent="0.45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 spans="1:26" ht="14.25" customHeight="1" x14ac:dyDescent="0.45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 spans="1:26" ht="14.25" customHeight="1" x14ac:dyDescent="0.45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 spans="1:26" ht="14.25" customHeight="1" x14ac:dyDescent="0.45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 spans="1:26" ht="14.25" customHeight="1" x14ac:dyDescent="0.45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 spans="1:26" ht="14.25" customHeight="1" x14ac:dyDescent="0.45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 spans="1:26" ht="14.25" customHeight="1" x14ac:dyDescent="0.45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 spans="1:26" ht="14.25" customHeight="1" x14ac:dyDescent="0.45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 spans="1:26" ht="14.25" customHeight="1" x14ac:dyDescent="0.4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 spans="1:26" ht="14.25" customHeight="1" x14ac:dyDescent="0.45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 spans="1:26" ht="14.25" customHeight="1" x14ac:dyDescent="0.45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 spans="1:26" ht="14.25" customHeight="1" x14ac:dyDescent="0.45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 spans="1:26" ht="14.25" customHeight="1" x14ac:dyDescent="0.45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 spans="1:26" ht="14.25" customHeight="1" x14ac:dyDescent="0.45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 spans="1:26" ht="14.25" customHeight="1" x14ac:dyDescent="0.45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 spans="1:26" ht="14.25" customHeight="1" x14ac:dyDescent="0.45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 spans="1:26" ht="14.25" customHeight="1" x14ac:dyDescent="0.45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 spans="1:26" ht="14.25" customHeight="1" x14ac:dyDescent="0.45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 spans="1:26" ht="14.25" customHeight="1" x14ac:dyDescent="0.4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 spans="1:26" ht="14.25" customHeight="1" x14ac:dyDescent="0.45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 spans="1:26" ht="14.25" customHeight="1" x14ac:dyDescent="0.45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 spans="1:26" ht="14.25" customHeight="1" x14ac:dyDescent="0.45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 spans="1:26" ht="14.25" customHeight="1" x14ac:dyDescent="0.45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 spans="1:26" ht="14.25" customHeight="1" x14ac:dyDescent="0.45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 spans="1:26" ht="14.25" customHeight="1" x14ac:dyDescent="0.45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 spans="1:26" ht="14.25" customHeight="1" x14ac:dyDescent="0.45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 spans="1:26" ht="14.25" customHeight="1" x14ac:dyDescent="0.45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 spans="1:26" ht="14.25" customHeight="1" x14ac:dyDescent="0.45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 spans="1:26" ht="14.25" customHeight="1" x14ac:dyDescent="0.4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 spans="1:26" ht="14.25" customHeight="1" x14ac:dyDescent="0.45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 spans="1:26" ht="14.25" customHeight="1" x14ac:dyDescent="0.45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 spans="1:26" ht="14.25" customHeight="1" x14ac:dyDescent="0.45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 spans="1:26" ht="14.25" customHeight="1" x14ac:dyDescent="0.45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 spans="1:26" ht="14.25" customHeight="1" x14ac:dyDescent="0.45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 spans="1:26" ht="14.25" customHeight="1" x14ac:dyDescent="0.45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 spans="1:26" ht="14.25" customHeight="1" x14ac:dyDescent="0.45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 spans="1:26" ht="14.25" customHeight="1" x14ac:dyDescent="0.45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 spans="1:26" ht="14.25" customHeight="1" x14ac:dyDescent="0.45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 spans="1:26" ht="14.25" customHeight="1" x14ac:dyDescent="0.4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 spans="1:26" ht="14.25" customHeight="1" x14ac:dyDescent="0.45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 spans="1:26" ht="14.25" customHeight="1" x14ac:dyDescent="0.45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 spans="1:26" ht="14.25" customHeight="1" x14ac:dyDescent="0.45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 spans="1:26" ht="14.25" customHeight="1" x14ac:dyDescent="0.45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 spans="1:26" ht="14.25" customHeight="1" x14ac:dyDescent="0.45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 spans="1:26" ht="14.25" customHeight="1" x14ac:dyDescent="0.45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 spans="1:26" ht="14.25" customHeight="1" x14ac:dyDescent="0.45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 spans="1:26" ht="14.25" customHeight="1" x14ac:dyDescent="0.45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 spans="1:26" ht="14.25" customHeight="1" x14ac:dyDescent="0.45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 spans="1:26" ht="14.25" customHeight="1" x14ac:dyDescent="0.4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 spans="1:26" ht="14.25" customHeight="1" x14ac:dyDescent="0.45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 spans="1:26" ht="14.25" customHeight="1" x14ac:dyDescent="0.45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 spans="1:26" ht="14.25" customHeight="1" x14ac:dyDescent="0.45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 spans="1:26" ht="14.25" customHeight="1" x14ac:dyDescent="0.45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 spans="1:26" ht="14.25" customHeight="1" x14ac:dyDescent="0.45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 spans="1:26" ht="14.25" customHeight="1" x14ac:dyDescent="0.45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 spans="1:26" ht="14.25" customHeight="1" x14ac:dyDescent="0.45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 spans="1:26" ht="14.25" customHeight="1" x14ac:dyDescent="0.45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 spans="1:26" ht="14.25" customHeight="1" x14ac:dyDescent="0.45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 spans="1:26" ht="14.25" customHeight="1" x14ac:dyDescent="0.4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 spans="1:26" ht="14.25" customHeight="1" x14ac:dyDescent="0.45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 spans="1:26" ht="14.25" customHeight="1" x14ac:dyDescent="0.45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 spans="1:26" ht="14.25" customHeight="1" x14ac:dyDescent="0.45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 spans="1:26" ht="14.25" customHeight="1" x14ac:dyDescent="0.45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 spans="1:26" ht="14.25" customHeight="1" x14ac:dyDescent="0.45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 spans="1:26" ht="14.25" customHeight="1" x14ac:dyDescent="0.45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 spans="1:26" ht="14.25" customHeight="1" x14ac:dyDescent="0.45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 spans="1:26" ht="14.25" customHeight="1" x14ac:dyDescent="0.45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 spans="1:26" ht="14.25" customHeight="1" x14ac:dyDescent="0.45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 spans="1:26" ht="14.25" customHeight="1" x14ac:dyDescent="0.4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 spans="1:26" ht="14.25" customHeight="1" x14ac:dyDescent="0.45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 spans="1:26" ht="14.25" customHeight="1" x14ac:dyDescent="0.45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 spans="1:26" ht="14.25" customHeight="1" x14ac:dyDescent="0.45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 spans="1:26" ht="14.25" customHeight="1" x14ac:dyDescent="0.45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 spans="1:26" ht="14.25" customHeight="1" x14ac:dyDescent="0.45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 spans="1:26" ht="14.25" customHeight="1" x14ac:dyDescent="0.45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 spans="1:26" ht="14.25" customHeight="1" x14ac:dyDescent="0.45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 spans="1:26" ht="14.25" customHeight="1" x14ac:dyDescent="0.45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 spans="1:26" ht="14.25" customHeight="1" x14ac:dyDescent="0.45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 spans="1:26" ht="14.25" customHeight="1" x14ac:dyDescent="0.4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 spans="1:26" ht="14.25" customHeight="1" x14ac:dyDescent="0.45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 spans="1:26" ht="14.25" customHeight="1" x14ac:dyDescent="0.45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 spans="1:26" ht="14.25" customHeight="1" x14ac:dyDescent="0.45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 spans="1:26" ht="14.25" customHeight="1" x14ac:dyDescent="0.45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 spans="1:26" ht="14.25" customHeight="1" x14ac:dyDescent="0.45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 spans="1:26" ht="14.25" customHeight="1" x14ac:dyDescent="0.45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 spans="1:26" ht="14.25" customHeight="1" x14ac:dyDescent="0.45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 spans="1:26" ht="14.25" customHeight="1" x14ac:dyDescent="0.45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 spans="1:26" ht="14.25" customHeight="1" x14ac:dyDescent="0.45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 spans="1:26" ht="14.25" customHeight="1" x14ac:dyDescent="0.4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 spans="1:26" ht="14.25" customHeight="1" x14ac:dyDescent="0.45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 spans="1:26" ht="14.25" customHeight="1" x14ac:dyDescent="0.45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 spans="1:26" ht="14.25" customHeight="1" x14ac:dyDescent="0.45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 spans="1:26" ht="14.25" customHeight="1" x14ac:dyDescent="0.45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 spans="1:26" ht="14.25" customHeight="1" x14ac:dyDescent="0.45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 spans="1:26" ht="14.25" customHeight="1" x14ac:dyDescent="0.45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 spans="1:26" ht="14.25" customHeight="1" x14ac:dyDescent="0.45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 spans="1:26" ht="14.25" customHeight="1" x14ac:dyDescent="0.45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 spans="1:26" ht="14.25" customHeight="1" x14ac:dyDescent="0.45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 spans="1:26" ht="14.25" customHeight="1" x14ac:dyDescent="0.4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 spans="1:26" ht="14.25" customHeight="1" x14ac:dyDescent="0.45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 spans="1:26" ht="14.25" customHeight="1" x14ac:dyDescent="0.45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 spans="1:26" ht="14.25" customHeight="1" x14ac:dyDescent="0.45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 spans="1:26" ht="14.25" customHeight="1" x14ac:dyDescent="0.45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 spans="1:26" ht="14.25" customHeight="1" x14ac:dyDescent="0.45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 spans="1:26" ht="14.25" customHeight="1" x14ac:dyDescent="0.45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 spans="1:26" ht="14.25" customHeight="1" x14ac:dyDescent="0.45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 spans="1:26" ht="14.25" customHeight="1" x14ac:dyDescent="0.45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 spans="1:26" ht="14.25" customHeight="1" x14ac:dyDescent="0.45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 spans="1:26" ht="14.25" customHeight="1" x14ac:dyDescent="0.4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 spans="1:26" ht="14.25" customHeight="1" x14ac:dyDescent="0.45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 spans="1:26" ht="14.25" customHeight="1" x14ac:dyDescent="0.45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 spans="1:26" ht="14.25" customHeight="1" x14ac:dyDescent="0.45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 spans="1:26" ht="14.25" customHeight="1" x14ac:dyDescent="0.45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 spans="1:26" ht="14.25" customHeight="1" x14ac:dyDescent="0.45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 spans="1:26" ht="14.25" customHeight="1" x14ac:dyDescent="0.45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 spans="1:26" ht="14.25" customHeight="1" x14ac:dyDescent="0.45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 spans="1:26" ht="14.25" customHeight="1" x14ac:dyDescent="0.45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 spans="1:26" ht="14.25" customHeight="1" x14ac:dyDescent="0.45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 spans="1:26" ht="14.25" customHeight="1" x14ac:dyDescent="0.4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 spans="1:26" ht="14.25" customHeight="1" x14ac:dyDescent="0.45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 spans="1:26" ht="14.25" customHeight="1" x14ac:dyDescent="0.45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 spans="1:26" ht="14.25" customHeight="1" x14ac:dyDescent="0.45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 spans="1:26" ht="14.25" customHeight="1" x14ac:dyDescent="0.45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 spans="1:26" ht="14.25" customHeight="1" x14ac:dyDescent="0.45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 spans="1:26" ht="14.25" customHeight="1" x14ac:dyDescent="0.45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 spans="1:26" ht="14.25" customHeight="1" x14ac:dyDescent="0.45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 spans="1:26" ht="14.25" customHeight="1" x14ac:dyDescent="0.45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 spans="1:26" ht="14.25" customHeight="1" x14ac:dyDescent="0.45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 spans="1:26" ht="14.25" customHeight="1" x14ac:dyDescent="0.4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 spans="1:26" ht="14.25" customHeight="1" x14ac:dyDescent="0.45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 spans="1:26" ht="14.25" customHeight="1" x14ac:dyDescent="0.45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 spans="1:26" ht="14.25" customHeight="1" x14ac:dyDescent="0.45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 spans="1:26" ht="14.25" customHeight="1" x14ac:dyDescent="0.45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 spans="1:26" ht="14.25" customHeight="1" x14ac:dyDescent="0.45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 spans="1:26" ht="14.25" customHeight="1" x14ac:dyDescent="0.45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 spans="1:26" ht="14.25" customHeight="1" x14ac:dyDescent="0.45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 spans="1:26" ht="14.25" customHeight="1" x14ac:dyDescent="0.45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 spans="1:26" ht="14.25" customHeight="1" x14ac:dyDescent="0.45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 spans="1:26" ht="14.25" customHeight="1" x14ac:dyDescent="0.4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 spans="1:26" ht="14.25" customHeight="1" x14ac:dyDescent="0.45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 spans="1:26" ht="14.25" customHeight="1" x14ac:dyDescent="0.45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 spans="1:26" ht="14.25" customHeight="1" x14ac:dyDescent="0.45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 spans="1:26" ht="14.25" customHeight="1" x14ac:dyDescent="0.45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 spans="1:26" ht="14.25" customHeight="1" x14ac:dyDescent="0.45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 spans="1:26" ht="14.25" customHeight="1" x14ac:dyDescent="0.45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 spans="1:26" ht="14.25" customHeight="1" x14ac:dyDescent="0.45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 spans="1:26" ht="14.25" customHeight="1" x14ac:dyDescent="0.45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 spans="1:26" ht="14.25" customHeight="1" x14ac:dyDescent="0.45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 spans="1:26" ht="14.25" customHeight="1" x14ac:dyDescent="0.4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 spans="1:26" ht="14.25" customHeight="1" x14ac:dyDescent="0.45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 spans="1:26" ht="14.25" customHeight="1" x14ac:dyDescent="0.45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 spans="1:26" ht="14.25" customHeight="1" x14ac:dyDescent="0.45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 spans="1:26" ht="14.25" customHeight="1" x14ac:dyDescent="0.45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 spans="1:26" ht="14.25" customHeight="1" x14ac:dyDescent="0.45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 spans="1:26" ht="14.25" customHeight="1" x14ac:dyDescent="0.45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 spans="1:26" ht="14.25" customHeight="1" x14ac:dyDescent="0.45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 spans="1:26" ht="14.25" customHeight="1" x14ac:dyDescent="0.45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 spans="1:26" ht="14.25" customHeight="1" x14ac:dyDescent="0.45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 spans="1:26" ht="14.25" customHeight="1" x14ac:dyDescent="0.4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 spans="1:26" ht="14.25" customHeight="1" x14ac:dyDescent="0.45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 spans="1:26" ht="14.25" customHeight="1" x14ac:dyDescent="0.45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 spans="1:26" ht="14.25" customHeight="1" x14ac:dyDescent="0.45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 spans="1:26" ht="14.25" customHeight="1" x14ac:dyDescent="0.45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 spans="1:26" ht="14.25" customHeight="1" x14ac:dyDescent="0.45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 spans="1:26" ht="14.25" customHeight="1" x14ac:dyDescent="0.45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 spans="1:26" ht="14.25" customHeight="1" x14ac:dyDescent="0.45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 spans="1:26" ht="14.25" customHeight="1" x14ac:dyDescent="0.45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 spans="1:26" ht="14.25" customHeight="1" x14ac:dyDescent="0.45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 spans="1:26" ht="14.25" customHeight="1" x14ac:dyDescent="0.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 spans="1:26" ht="14.25" customHeight="1" x14ac:dyDescent="0.45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 spans="1:26" ht="14.25" customHeight="1" x14ac:dyDescent="0.45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 spans="1:26" ht="14.25" customHeight="1" x14ac:dyDescent="0.45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 spans="1:26" ht="14.25" customHeight="1" x14ac:dyDescent="0.45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 spans="1:26" ht="14.25" customHeight="1" x14ac:dyDescent="0.45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 spans="1:26" ht="14.25" customHeight="1" x14ac:dyDescent="0.45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 spans="1:26" ht="14.25" customHeight="1" x14ac:dyDescent="0.45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 spans="1:26" ht="14.25" customHeight="1" x14ac:dyDescent="0.45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 spans="1:26" ht="14.25" customHeight="1" x14ac:dyDescent="0.45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 spans="1:26" ht="14.25" customHeight="1" x14ac:dyDescent="0.4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 spans="1:26" ht="14.25" customHeight="1" x14ac:dyDescent="0.45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 spans="1:26" ht="14.25" customHeight="1" x14ac:dyDescent="0.45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 spans="1:26" ht="14.25" customHeight="1" x14ac:dyDescent="0.45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 spans="1:26" ht="14.25" customHeight="1" x14ac:dyDescent="0.45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 spans="1:26" ht="14.25" customHeight="1" x14ac:dyDescent="0.45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 spans="1:26" ht="14.25" customHeight="1" x14ac:dyDescent="0.45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 spans="1:26" ht="14.25" customHeight="1" x14ac:dyDescent="0.45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 spans="1:26" ht="14.25" customHeight="1" x14ac:dyDescent="0.45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 spans="1:26" ht="14.25" customHeight="1" x14ac:dyDescent="0.45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 spans="1:26" ht="14.25" customHeight="1" x14ac:dyDescent="0.4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 spans="1:26" ht="14.25" customHeight="1" x14ac:dyDescent="0.45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 spans="1:26" ht="14.25" customHeight="1" x14ac:dyDescent="0.45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 spans="1:26" ht="14.25" customHeight="1" x14ac:dyDescent="0.45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 spans="1:26" ht="14.25" customHeight="1" x14ac:dyDescent="0.45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 spans="1:26" ht="14.25" customHeight="1" x14ac:dyDescent="0.45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 spans="1:26" ht="14.25" customHeight="1" x14ac:dyDescent="0.45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 spans="1:26" ht="14.25" customHeight="1" x14ac:dyDescent="0.45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 spans="1:26" ht="14.25" customHeight="1" x14ac:dyDescent="0.45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 spans="1:26" ht="14.25" customHeight="1" x14ac:dyDescent="0.45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 spans="1:26" ht="14.25" customHeight="1" x14ac:dyDescent="0.4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 spans="1:26" ht="14.25" customHeight="1" x14ac:dyDescent="0.45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 spans="1:26" ht="14.25" customHeight="1" x14ac:dyDescent="0.45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 spans="1:26" ht="14.25" customHeight="1" x14ac:dyDescent="0.45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 spans="1:26" ht="14.25" customHeight="1" x14ac:dyDescent="0.45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 spans="1:26" ht="14.25" customHeight="1" x14ac:dyDescent="0.45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 spans="1:26" ht="14.25" customHeight="1" x14ac:dyDescent="0.45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 spans="1:26" ht="14.25" customHeight="1" x14ac:dyDescent="0.45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 spans="1:26" ht="14.25" customHeight="1" x14ac:dyDescent="0.45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 spans="1:26" ht="14.25" customHeight="1" x14ac:dyDescent="0.45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 spans="1:26" ht="14.25" customHeight="1" x14ac:dyDescent="0.4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 spans="1:26" ht="14.25" customHeight="1" x14ac:dyDescent="0.45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 spans="1:26" ht="14.25" customHeight="1" x14ac:dyDescent="0.45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 spans="1:26" ht="14.25" customHeight="1" x14ac:dyDescent="0.45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 spans="1:26" ht="14.25" customHeight="1" x14ac:dyDescent="0.45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 spans="1:26" ht="14.25" customHeight="1" x14ac:dyDescent="0.45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 spans="1:26" ht="14.25" customHeight="1" x14ac:dyDescent="0.45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 spans="1:26" ht="14.25" customHeight="1" x14ac:dyDescent="0.45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 spans="1:26" ht="14.25" customHeight="1" x14ac:dyDescent="0.45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 spans="1:26" ht="14.25" customHeight="1" x14ac:dyDescent="0.45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 spans="1:26" ht="14.25" customHeight="1" x14ac:dyDescent="0.4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 spans="1:26" ht="14.25" customHeight="1" x14ac:dyDescent="0.45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 spans="1:26" ht="14.25" customHeight="1" x14ac:dyDescent="0.45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 spans="1:26" ht="14.25" customHeight="1" x14ac:dyDescent="0.45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 spans="1:26" ht="14.25" customHeight="1" x14ac:dyDescent="0.45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 spans="1:26" ht="14.25" customHeight="1" x14ac:dyDescent="0.45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 spans="1:26" ht="14.25" customHeight="1" x14ac:dyDescent="0.45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 spans="1:26" ht="14.25" customHeight="1" x14ac:dyDescent="0.45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 spans="1:26" ht="14.25" customHeight="1" x14ac:dyDescent="0.45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 spans="1:26" ht="14.25" customHeight="1" x14ac:dyDescent="0.45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 spans="1:26" ht="14.25" customHeight="1" x14ac:dyDescent="0.4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 spans="1:26" ht="14.25" customHeight="1" x14ac:dyDescent="0.45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 spans="1:26" ht="14.25" customHeight="1" x14ac:dyDescent="0.45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 spans="1:26" ht="14.25" customHeight="1" x14ac:dyDescent="0.45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 spans="1:26" ht="14.25" customHeight="1" x14ac:dyDescent="0.45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 spans="1:26" ht="14.25" customHeight="1" x14ac:dyDescent="0.45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 spans="1:26" ht="14.25" customHeight="1" x14ac:dyDescent="0.45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 spans="1:26" ht="14.25" customHeight="1" x14ac:dyDescent="0.45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 spans="1:26" ht="14.25" customHeight="1" x14ac:dyDescent="0.45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 spans="1:26" ht="14.25" customHeight="1" x14ac:dyDescent="0.45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 spans="1:26" ht="14.25" customHeight="1" x14ac:dyDescent="0.4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 spans="1:26" ht="14.25" customHeight="1" x14ac:dyDescent="0.45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 spans="1:26" ht="14.25" customHeight="1" x14ac:dyDescent="0.45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 spans="1:26" ht="14.25" customHeight="1" x14ac:dyDescent="0.45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 spans="1:26" ht="14.25" customHeight="1" x14ac:dyDescent="0.45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 spans="1:26" ht="14.25" customHeight="1" x14ac:dyDescent="0.45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 spans="1:26" ht="14.25" customHeight="1" x14ac:dyDescent="0.45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 spans="1:26" ht="14.25" customHeight="1" x14ac:dyDescent="0.45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 spans="1:26" ht="14.25" customHeight="1" x14ac:dyDescent="0.45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 spans="1:26" ht="14.25" customHeight="1" x14ac:dyDescent="0.45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 spans="1:26" ht="14.25" customHeight="1" x14ac:dyDescent="0.4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 spans="1:26" ht="14.25" customHeight="1" x14ac:dyDescent="0.45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 spans="1:26" ht="14.25" customHeight="1" x14ac:dyDescent="0.45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 spans="1:26" ht="14.25" customHeight="1" x14ac:dyDescent="0.45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 spans="1:26" ht="14.25" customHeight="1" x14ac:dyDescent="0.45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 spans="1:26" ht="14.25" customHeight="1" x14ac:dyDescent="0.45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 spans="1:26" ht="14.25" customHeight="1" x14ac:dyDescent="0.45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 spans="1:26" ht="14.25" customHeight="1" x14ac:dyDescent="0.45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 spans="1:26" ht="14.25" customHeight="1" x14ac:dyDescent="0.45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 spans="1:26" ht="14.25" customHeight="1" x14ac:dyDescent="0.45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 spans="1:26" ht="14.25" customHeight="1" x14ac:dyDescent="0.4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 spans="1:26" ht="14.25" customHeight="1" x14ac:dyDescent="0.45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 spans="1:26" ht="14.25" customHeight="1" x14ac:dyDescent="0.45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 spans="1:26" ht="14.25" customHeight="1" x14ac:dyDescent="0.45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 spans="1:26" ht="14.25" customHeight="1" x14ac:dyDescent="0.45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 spans="1:26" ht="14.25" customHeight="1" x14ac:dyDescent="0.45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 spans="1:26" ht="14.25" customHeight="1" x14ac:dyDescent="0.45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 spans="1:26" ht="14.25" customHeight="1" x14ac:dyDescent="0.45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 spans="1:26" ht="14.25" customHeight="1" x14ac:dyDescent="0.45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 spans="1:26" ht="14.25" customHeight="1" x14ac:dyDescent="0.45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 spans="1:26" ht="14.25" customHeight="1" x14ac:dyDescent="0.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 spans="1:26" ht="14.25" customHeight="1" x14ac:dyDescent="0.45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 spans="1:26" ht="14.25" customHeight="1" x14ac:dyDescent="0.45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 spans="1:26" ht="14.25" customHeight="1" x14ac:dyDescent="0.45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 spans="1:26" ht="14.25" customHeight="1" x14ac:dyDescent="0.45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 spans="1:26" ht="14.25" customHeight="1" x14ac:dyDescent="0.45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 spans="1:26" ht="14.25" customHeight="1" x14ac:dyDescent="0.45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 spans="1:26" ht="14.25" customHeight="1" x14ac:dyDescent="0.45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 spans="1:26" ht="14.25" customHeight="1" x14ac:dyDescent="0.45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 spans="1:26" ht="14.25" customHeight="1" x14ac:dyDescent="0.45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 spans="1:26" ht="14.25" customHeight="1" x14ac:dyDescent="0.4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 spans="1:26" ht="14.25" customHeight="1" x14ac:dyDescent="0.45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 spans="1:26" ht="14.25" customHeight="1" x14ac:dyDescent="0.45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 spans="1:26" ht="14.25" customHeight="1" x14ac:dyDescent="0.45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 spans="1:26" ht="14.25" customHeight="1" x14ac:dyDescent="0.45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 spans="1:26" ht="14.25" customHeight="1" x14ac:dyDescent="0.45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 spans="1:26" ht="14.25" customHeight="1" x14ac:dyDescent="0.45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 spans="1:26" ht="14.25" customHeight="1" x14ac:dyDescent="0.45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 spans="1:26" ht="14.25" customHeight="1" x14ac:dyDescent="0.45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 spans="1:26" ht="14.25" customHeight="1" x14ac:dyDescent="0.45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 spans="1:26" ht="14.25" customHeight="1" x14ac:dyDescent="0.4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 spans="1:26" ht="14.25" customHeight="1" x14ac:dyDescent="0.45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 spans="1:26" ht="14.25" customHeight="1" x14ac:dyDescent="0.45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 spans="1:26" ht="14.25" customHeight="1" x14ac:dyDescent="0.45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 spans="1:26" ht="14.25" customHeight="1" x14ac:dyDescent="0.45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 spans="1:26" ht="14.25" customHeight="1" x14ac:dyDescent="0.45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 spans="1:26" ht="14.25" customHeight="1" x14ac:dyDescent="0.45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 spans="1:26" ht="14.25" customHeight="1" x14ac:dyDescent="0.45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 spans="1:26" ht="14.25" customHeight="1" x14ac:dyDescent="0.45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 spans="1:26" ht="14.25" customHeight="1" x14ac:dyDescent="0.45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 spans="1:26" ht="14.25" customHeight="1" x14ac:dyDescent="0.4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 spans="1:26" ht="14.25" customHeight="1" x14ac:dyDescent="0.45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 spans="1:26" ht="14.25" customHeight="1" x14ac:dyDescent="0.45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 spans="1:26" ht="14.25" customHeight="1" x14ac:dyDescent="0.45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 spans="1:26" ht="14.25" customHeight="1" x14ac:dyDescent="0.45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 spans="1:26" ht="14.25" customHeight="1" x14ac:dyDescent="0.45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 spans="1:26" ht="14.25" customHeight="1" x14ac:dyDescent="0.45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 spans="1:26" ht="14.25" customHeight="1" x14ac:dyDescent="0.45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 spans="1:26" ht="14.25" customHeight="1" x14ac:dyDescent="0.45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 spans="1:26" ht="14.25" customHeight="1" x14ac:dyDescent="0.45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 spans="1:26" ht="14.25" customHeight="1" x14ac:dyDescent="0.4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 spans="1:26" ht="14.25" customHeight="1" x14ac:dyDescent="0.45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 spans="1:26" ht="14.25" customHeight="1" x14ac:dyDescent="0.45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 spans="1:26" ht="14.25" customHeight="1" x14ac:dyDescent="0.45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 spans="1:26" ht="14.25" customHeight="1" x14ac:dyDescent="0.45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 spans="1:26" ht="14.25" customHeight="1" x14ac:dyDescent="0.45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 spans="1:26" ht="14.25" customHeight="1" x14ac:dyDescent="0.45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 spans="1:26" ht="14.25" customHeight="1" x14ac:dyDescent="0.45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 spans="1:26" ht="14.25" customHeight="1" x14ac:dyDescent="0.45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 spans="1:26" ht="14.25" customHeight="1" x14ac:dyDescent="0.45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 spans="1:26" ht="14.25" customHeight="1" x14ac:dyDescent="0.4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 spans="1:26" ht="14.25" customHeight="1" x14ac:dyDescent="0.45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 spans="1:26" ht="14.25" customHeight="1" x14ac:dyDescent="0.45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 spans="1:26" ht="14.25" customHeight="1" x14ac:dyDescent="0.45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 spans="1:26" ht="14.25" customHeight="1" x14ac:dyDescent="0.45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 spans="1:26" ht="14.25" customHeight="1" x14ac:dyDescent="0.45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 spans="1:26" ht="14.25" customHeight="1" x14ac:dyDescent="0.45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 spans="1:26" ht="14.25" customHeight="1" x14ac:dyDescent="0.45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 spans="1:26" ht="14.25" customHeight="1" x14ac:dyDescent="0.45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 spans="1:26" ht="14.25" customHeight="1" x14ac:dyDescent="0.45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 spans="1:26" ht="14.25" customHeight="1" x14ac:dyDescent="0.4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 spans="1:26" ht="14.25" customHeight="1" x14ac:dyDescent="0.45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 spans="1:26" ht="14.25" customHeight="1" x14ac:dyDescent="0.45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 spans="1:26" ht="14.25" customHeight="1" x14ac:dyDescent="0.45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 spans="1:26" ht="14.25" customHeight="1" x14ac:dyDescent="0.45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 spans="1:26" ht="14.25" customHeight="1" x14ac:dyDescent="0.45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 spans="1:26" ht="14.25" customHeight="1" x14ac:dyDescent="0.45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 spans="1:26" ht="14.25" customHeight="1" x14ac:dyDescent="0.45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 spans="1:26" ht="14.25" customHeight="1" x14ac:dyDescent="0.45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 spans="1:26" ht="14.25" customHeight="1" x14ac:dyDescent="0.45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 spans="1:26" ht="14.25" customHeight="1" x14ac:dyDescent="0.4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 spans="1:26" ht="14.25" customHeight="1" x14ac:dyDescent="0.45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 spans="1:26" ht="14.25" customHeight="1" x14ac:dyDescent="0.45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 spans="1:26" ht="14.25" customHeight="1" x14ac:dyDescent="0.45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 spans="1:26" ht="14.25" customHeight="1" x14ac:dyDescent="0.45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 spans="1:26" ht="14.25" customHeight="1" x14ac:dyDescent="0.45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 spans="1:26" ht="14.25" customHeight="1" x14ac:dyDescent="0.45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 spans="1:26" ht="14.25" customHeight="1" x14ac:dyDescent="0.45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 spans="1:26" ht="14.25" customHeight="1" x14ac:dyDescent="0.45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 spans="1:26" ht="14.25" customHeight="1" x14ac:dyDescent="0.45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 spans="1:26" ht="14.25" customHeight="1" x14ac:dyDescent="0.4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 spans="1:26" ht="14.25" customHeight="1" x14ac:dyDescent="0.45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 spans="1:26" ht="14.25" customHeight="1" x14ac:dyDescent="0.45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 spans="1:26" ht="14.25" customHeight="1" x14ac:dyDescent="0.45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 spans="1:26" ht="14.25" customHeight="1" x14ac:dyDescent="0.45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 spans="1:26" ht="14.25" customHeight="1" x14ac:dyDescent="0.45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 spans="1:26" ht="14.25" customHeight="1" x14ac:dyDescent="0.45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 spans="1:26" ht="14.25" customHeight="1" x14ac:dyDescent="0.45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 spans="1:26" ht="14.25" customHeight="1" x14ac:dyDescent="0.45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 spans="1:26" ht="14.25" customHeight="1" x14ac:dyDescent="0.45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 spans="1:26" ht="14.25" customHeight="1" x14ac:dyDescent="0.4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 spans="1:26" ht="14.25" customHeight="1" x14ac:dyDescent="0.45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 spans="1:26" ht="14.25" customHeight="1" x14ac:dyDescent="0.45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 spans="1:26" ht="14.25" customHeight="1" x14ac:dyDescent="0.45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 spans="1:26" ht="14.25" customHeight="1" x14ac:dyDescent="0.45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 spans="1:26" ht="14.25" customHeight="1" x14ac:dyDescent="0.45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 spans="1:26" ht="14.25" customHeight="1" x14ac:dyDescent="0.45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 spans="1:26" ht="14.25" customHeight="1" x14ac:dyDescent="0.45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 spans="1:26" ht="14.25" customHeight="1" x14ac:dyDescent="0.45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 spans="1:26" ht="14.25" customHeight="1" x14ac:dyDescent="0.45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 spans="1:26" ht="14.25" customHeight="1" x14ac:dyDescent="0.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 spans="1:26" ht="14.25" customHeight="1" x14ac:dyDescent="0.45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 spans="1:26" ht="14.25" customHeight="1" x14ac:dyDescent="0.45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 spans="1:26" ht="14.25" customHeight="1" x14ac:dyDescent="0.45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 spans="1:26" ht="14.25" customHeight="1" x14ac:dyDescent="0.45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 spans="1:26" ht="14.25" customHeight="1" x14ac:dyDescent="0.45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 spans="1:26" ht="14.25" customHeight="1" x14ac:dyDescent="0.45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 spans="1:26" ht="14.25" customHeight="1" x14ac:dyDescent="0.45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 spans="1:26" ht="14.25" customHeight="1" x14ac:dyDescent="0.45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 spans="1:26" ht="14.25" customHeight="1" x14ac:dyDescent="0.45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 spans="1:26" ht="14.25" customHeight="1" x14ac:dyDescent="0.4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 spans="1:26" ht="14.25" customHeight="1" x14ac:dyDescent="0.45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 spans="1:26" ht="14.25" customHeight="1" x14ac:dyDescent="0.45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 spans="1:26" ht="14.25" customHeight="1" x14ac:dyDescent="0.45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 spans="1:26" ht="14.25" customHeight="1" x14ac:dyDescent="0.45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 spans="1:26" ht="14.25" customHeight="1" x14ac:dyDescent="0.45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 spans="1:26" ht="14.25" customHeight="1" x14ac:dyDescent="0.45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 spans="1:26" ht="14.25" customHeight="1" x14ac:dyDescent="0.45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 spans="1:26" ht="14.25" customHeight="1" x14ac:dyDescent="0.45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 spans="1:26" ht="14.25" customHeight="1" x14ac:dyDescent="0.45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 spans="1:26" ht="14.25" customHeight="1" x14ac:dyDescent="0.4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 spans="1:26" ht="14.25" customHeight="1" x14ac:dyDescent="0.45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 spans="1:26" ht="14.25" customHeight="1" x14ac:dyDescent="0.45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 spans="1:26" ht="14.25" customHeight="1" x14ac:dyDescent="0.45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 spans="1:26" ht="14.25" customHeight="1" x14ac:dyDescent="0.45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 spans="1:26" ht="14.25" customHeight="1" x14ac:dyDescent="0.45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 spans="1:26" ht="14.25" customHeight="1" x14ac:dyDescent="0.45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 spans="1:26" ht="14.25" customHeight="1" x14ac:dyDescent="0.45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 spans="1:26" ht="14.25" customHeight="1" x14ac:dyDescent="0.45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 spans="1:26" ht="14.25" customHeight="1" x14ac:dyDescent="0.45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 spans="1:26" ht="14.25" customHeight="1" x14ac:dyDescent="0.4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 spans="1:26" ht="14.25" customHeight="1" x14ac:dyDescent="0.45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 spans="1:26" ht="14.25" customHeight="1" x14ac:dyDescent="0.45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 spans="1:26" ht="14.25" customHeight="1" x14ac:dyDescent="0.45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 spans="1:26" ht="14.25" customHeight="1" x14ac:dyDescent="0.45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 spans="1:26" ht="14.25" customHeight="1" x14ac:dyDescent="0.45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 spans="1:26" ht="14.25" customHeight="1" x14ac:dyDescent="0.45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 spans="1:26" ht="14.25" customHeight="1" x14ac:dyDescent="0.45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 spans="1:26" ht="14.25" customHeight="1" x14ac:dyDescent="0.45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 spans="1:26" ht="14.25" customHeight="1" x14ac:dyDescent="0.45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 spans="1:26" ht="14.25" customHeight="1" x14ac:dyDescent="0.4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 spans="1:26" ht="14.25" customHeight="1" x14ac:dyDescent="0.45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 spans="1:26" ht="14.25" customHeight="1" x14ac:dyDescent="0.45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 spans="1:26" ht="14.25" customHeight="1" x14ac:dyDescent="0.45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 spans="1:26" ht="14.25" customHeight="1" x14ac:dyDescent="0.45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 spans="1:26" ht="14.25" customHeight="1" x14ac:dyDescent="0.45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 spans="1:26" ht="14.25" customHeight="1" x14ac:dyDescent="0.45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 spans="1:26" ht="14.25" customHeight="1" x14ac:dyDescent="0.45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 spans="1:26" ht="14.25" customHeight="1" x14ac:dyDescent="0.45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 spans="1:26" ht="14.25" customHeight="1" x14ac:dyDescent="0.45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 spans="1:26" ht="14.25" customHeight="1" x14ac:dyDescent="0.4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 spans="1:26" ht="14.25" customHeight="1" x14ac:dyDescent="0.45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 spans="1:26" ht="14.25" customHeight="1" x14ac:dyDescent="0.45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 spans="1:26" ht="14.25" customHeight="1" x14ac:dyDescent="0.45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 spans="1:26" ht="14.25" customHeight="1" x14ac:dyDescent="0.45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 spans="1:26" ht="14.25" customHeight="1" x14ac:dyDescent="0.45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 spans="1:26" ht="14.25" customHeight="1" x14ac:dyDescent="0.45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 spans="1:26" ht="14.25" customHeight="1" x14ac:dyDescent="0.45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 spans="1:26" ht="14.25" customHeight="1" x14ac:dyDescent="0.45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 spans="1:26" ht="14.25" customHeight="1" x14ac:dyDescent="0.45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 spans="1:26" ht="14.25" customHeight="1" x14ac:dyDescent="0.4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 spans="1:26" ht="14.25" customHeight="1" x14ac:dyDescent="0.45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 spans="1:26" ht="14.25" customHeight="1" x14ac:dyDescent="0.45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 spans="1:26" ht="14.25" customHeight="1" x14ac:dyDescent="0.45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 spans="1:26" ht="14.25" customHeight="1" x14ac:dyDescent="0.45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 spans="1:26" ht="14.25" customHeight="1" x14ac:dyDescent="0.45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 spans="1:26" ht="14.25" customHeight="1" x14ac:dyDescent="0.45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 spans="1:26" ht="14.25" customHeight="1" x14ac:dyDescent="0.45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 spans="1:26" ht="14.25" customHeight="1" x14ac:dyDescent="0.45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 spans="1:26" ht="14.25" customHeight="1" x14ac:dyDescent="0.45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 spans="1:26" ht="14.25" customHeight="1" x14ac:dyDescent="0.4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 spans="1:26" ht="14.25" customHeight="1" x14ac:dyDescent="0.45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 spans="1:26" ht="14.25" customHeight="1" x14ac:dyDescent="0.45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 spans="1:26" ht="14.25" customHeight="1" x14ac:dyDescent="0.45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 spans="1:26" ht="14.25" customHeight="1" x14ac:dyDescent="0.45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 spans="1:26" ht="14.25" customHeight="1" x14ac:dyDescent="0.45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 spans="1:26" ht="14.25" customHeight="1" x14ac:dyDescent="0.45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 spans="1:26" ht="14.25" customHeight="1" x14ac:dyDescent="0.45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 spans="1:26" ht="14.25" customHeight="1" x14ac:dyDescent="0.45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 spans="1:26" ht="14.25" customHeight="1" x14ac:dyDescent="0.45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 spans="1:26" ht="14.25" customHeight="1" x14ac:dyDescent="0.4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 spans="1:26" ht="14.25" customHeight="1" x14ac:dyDescent="0.45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 spans="1:26" ht="14.25" customHeight="1" x14ac:dyDescent="0.45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 spans="1:26" ht="14.25" customHeight="1" x14ac:dyDescent="0.45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 spans="1:26" ht="14.25" customHeight="1" x14ac:dyDescent="0.45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 spans="1:26" ht="14.25" customHeight="1" x14ac:dyDescent="0.45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 spans="1:26" ht="14.25" customHeight="1" x14ac:dyDescent="0.45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 spans="1:26" ht="14.25" customHeight="1" x14ac:dyDescent="0.45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 spans="1:26" ht="14.25" customHeight="1" x14ac:dyDescent="0.45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 spans="1:26" ht="14.25" customHeight="1" x14ac:dyDescent="0.45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 spans="1:26" ht="14.25" customHeight="1" x14ac:dyDescent="0.4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 spans="1:26" ht="14.25" customHeight="1" x14ac:dyDescent="0.45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 spans="1:26" ht="14.25" customHeight="1" x14ac:dyDescent="0.45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 spans="1:26" ht="14.25" customHeight="1" x14ac:dyDescent="0.45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 spans="1:26" ht="14.25" customHeight="1" x14ac:dyDescent="0.45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 spans="1:26" ht="14.25" customHeight="1" x14ac:dyDescent="0.45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 spans="1:26" ht="14.25" customHeight="1" x14ac:dyDescent="0.45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 spans="1:26" ht="14.25" customHeight="1" x14ac:dyDescent="0.45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 spans="1:26" ht="14.25" customHeight="1" x14ac:dyDescent="0.45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 spans="1:26" ht="14.25" customHeight="1" x14ac:dyDescent="0.45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 spans="1:26" ht="14.25" customHeight="1" x14ac:dyDescent="0.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 spans="1:26" ht="14.25" customHeight="1" x14ac:dyDescent="0.45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 spans="1:26" ht="14.25" customHeight="1" x14ac:dyDescent="0.45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 spans="1:26" ht="14.25" customHeight="1" x14ac:dyDescent="0.45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 spans="1:26" ht="14.25" customHeight="1" x14ac:dyDescent="0.45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 spans="1:26" ht="14.25" customHeight="1" x14ac:dyDescent="0.45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 spans="1:26" ht="14.25" customHeight="1" x14ac:dyDescent="0.45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 spans="1:26" ht="14.25" customHeight="1" x14ac:dyDescent="0.45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 spans="1:26" ht="14.25" customHeight="1" x14ac:dyDescent="0.45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 spans="1:26" ht="14.25" customHeight="1" x14ac:dyDescent="0.45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 spans="1:26" ht="14.25" customHeight="1" x14ac:dyDescent="0.4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 spans="1:26" ht="14.25" customHeight="1" x14ac:dyDescent="0.45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 spans="1:26" ht="14.25" customHeight="1" x14ac:dyDescent="0.45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 spans="1:26" ht="14.25" customHeight="1" x14ac:dyDescent="0.45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 spans="1:26" ht="14.25" customHeight="1" x14ac:dyDescent="0.45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 spans="1:26" ht="14.25" customHeight="1" x14ac:dyDescent="0.45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 spans="1:26" ht="14.25" customHeight="1" x14ac:dyDescent="0.45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 spans="1:26" ht="14.25" customHeight="1" x14ac:dyDescent="0.45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 spans="1:26" ht="14.25" customHeight="1" x14ac:dyDescent="0.45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 spans="1:26" ht="14.25" customHeight="1" x14ac:dyDescent="0.45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 spans="1:26" ht="14.25" customHeight="1" x14ac:dyDescent="0.4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 spans="1:26" ht="14.25" customHeight="1" x14ac:dyDescent="0.45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 spans="1:26" ht="14.25" customHeight="1" x14ac:dyDescent="0.45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 spans="1:26" ht="14.25" customHeight="1" x14ac:dyDescent="0.45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 spans="1:26" ht="14.25" customHeight="1" x14ac:dyDescent="0.45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 spans="1:26" ht="14.25" customHeight="1" x14ac:dyDescent="0.45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 spans="1:26" ht="14.25" customHeight="1" x14ac:dyDescent="0.45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 spans="1:26" ht="14.25" customHeight="1" x14ac:dyDescent="0.45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 spans="1:26" ht="14.25" customHeight="1" x14ac:dyDescent="0.45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 spans="1:26" ht="14.25" customHeight="1" x14ac:dyDescent="0.45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 spans="1:26" ht="14.25" customHeight="1" x14ac:dyDescent="0.4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 spans="1:26" ht="14.25" customHeight="1" x14ac:dyDescent="0.45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 spans="1:26" ht="14.25" customHeight="1" x14ac:dyDescent="0.45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 spans="1:26" ht="14.25" customHeight="1" x14ac:dyDescent="0.45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 spans="1:26" ht="14.25" customHeight="1" x14ac:dyDescent="0.45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 spans="1:26" ht="14.25" customHeight="1" x14ac:dyDescent="0.45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 spans="1:26" ht="14.25" customHeight="1" x14ac:dyDescent="0.45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 spans="1:26" ht="14.25" customHeight="1" x14ac:dyDescent="0.45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 spans="1:26" ht="14.25" customHeight="1" x14ac:dyDescent="0.45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 spans="1:26" ht="14.25" customHeight="1" x14ac:dyDescent="0.45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 spans="1:26" ht="14.25" customHeight="1" x14ac:dyDescent="0.4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 spans="1:26" ht="14.25" customHeight="1" x14ac:dyDescent="0.45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 spans="1:26" ht="14.25" customHeight="1" x14ac:dyDescent="0.45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 spans="1:26" ht="14.25" customHeight="1" x14ac:dyDescent="0.45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 spans="1:26" ht="14.25" customHeight="1" x14ac:dyDescent="0.45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 spans="1:26" ht="14.25" customHeight="1" x14ac:dyDescent="0.45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 spans="1:26" ht="14.25" customHeight="1" x14ac:dyDescent="0.45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 spans="1:26" ht="14.25" customHeight="1" x14ac:dyDescent="0.45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 spans="1:26" ht="14.25" customHeight="1" x14ac:dyDescent="0.45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 spans="1:26" ht="14.25" customHeight="1" x14ac:dyDescent="0.45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 spans="1:26" ht="14.25" customHeight="1" x14ac:dyDescent="0.4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 spans="1:26" ht="14.25" customHeight="1" x14ac:dyDescent="0.45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 spans="1:26" ht="14.25" customHeight="1" x14ac:dyDescent="0.45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 spans="1:26" ht="14.25" customHeight="1" x14ac:dyDescent="0.45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 spans="1:26" ht="14.25" customHeight="1" x14ac:dyDescent="0.45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 spans="1:26" ht="14.25" customHeight="1" x14ac:dyDescent="0.45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 spans="1:26" ht="14.25" customHeight="1" x14ac:dyDescent="0.45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 spans="1:26" ht="14.25" customHeight="1" x14ac:dyDescent="0.45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 spans="1:26" ht="14.25" customHeight="1" x14ac:dyDescent="0.45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 spans="1:26" ht="14.25" customHeight="1" x14ac:dyDescent="0.45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 spans="1:26" ht="14.25" customHeight="1" x14ac:dyDescent="0.4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 spans="1:26" ht="14.25" customHeight="1" x14ac:dyDescent="0.45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 spans="1:26" ht="14.25" customHeight="1" x14ac:dyDescent="0.45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 spans="1:26" ht="14.25" customHeight="1" x14ac:dyDescent="0.45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 spans="1:26" ht="14.25" customHeight="1" x14ac:dyDescent="0.45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 spans="1:26" ht="14.25" customHeight="1" x14ac:dyDescent="0.45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 spans="1:26" ht="14.25" customHeight="1" x14ac:dyDescent="0.45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 spans="1:26" ht="14.25" customHeight="1" x14ac:dyDescent="0.45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 spans="1:26" ht="14.25" customHeight="1" x14ac:dyDescent="0.45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 spans="1:26" ht="14.25" customHeight="1" x14ac:dyDescent="0.45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 spans="1:26" ht="14.25" customHeight="1" x14ac:dyDescent="0.4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 spans="1:26" ht="14.25" customHeight="1" x14ac:dyDescent="0.45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 spans="1:26" ht="14.25" customHeight="1" x14ac:dyDescent="0.45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 spans="1:26" ht="14.25" customHeight="1" x14ac:dyDescent="0.45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 spans="1:26" ht="14.25" customHeight="1" x14ac:dyDescent="0.45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 spans="1:26" ht="14.25" customHeight="1" x14ac:dyDescent="0.45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 spans="1:26" ht="14.25" customHeight="1" x14ac:dyDescent="0.45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 spans="1:26" ht="14.25" customHeight="1" x14ac:dyDescent="0.45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 spans="1:26" ht="14.25" customHeight="1" x14ac:dyDescent="0.45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 spans="1:26" ht="14.25" customHeight="1" x14ac:dyDescent="0.45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 spans="1:26" ht="14.25" customHeight="1" x14ac:dyDescent="0.4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 spans="1:26" ht="14.25" customHeight="1" x14ac:dyDescent="0.45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 spans="1:26" ht="14.25" customHeight="1" x14ac:dyDescent="0.45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 spans="1:26" ht="14.25" customHeight="1" x14ac:dyDescent="0.45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 spans="1:26" ht="14.25" customHeight="1" x14ac:dyDescent="0.45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 spans="1:26" ht="14.25" customHeight="1" x14ac:dyDescent="0.45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 spans="1:26" ht="14.25" customHeight="1" x14ac:dyDescent="0.45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 spans="1:26" ht="14.25" customHeight="1" x14ac:dyDescent="0.45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 spans="1:26" ht="14.25" customHeight="1" x14ac:dyDescent="0.45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 spans="1:26" ht="14.25" customHeight="1" x14ac:dyDescent="0.45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 spans="1:26" ht="14.25" customHeight="1" x14ac:dyDescent="0.4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 spans="1:26" ht="14.25" customHeight="1" x14ac:dyDescent="0.45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 spans="1:26" ht="14.25" customHeight="1" x14ac:dyDescent="0.45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 spans="1:26" ht="14.25" customHeight="1" x14ac:dyDescent="0.45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 spans="1:26" ht="14.25" customHeight="1" x14ac:dyDescent="0.45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 spans="1:26" ht="14.25" customHeight="1" x14ac:dyDescent="0.45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 spans="1:26" ht="14.25" customHeight="1" x14ac:dyDescent="0.45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 spans="1:26" ht="14.25" customHeight="1" x14ac:dyDescent="0.45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 spans="1:26" ht="14.25" customHeight="1" x14ac:dyDescent="0.45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 spans="1:26" ht="14.25" customHeight="1" x14ac:dyDescent="0.45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 spans="1:26" ht="14.25" customHeight="1" x14ac:dyDescent="0.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 spans="1:26" ht="14.25" customHeight="1" x14ac:dyDescent="0.45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 spans="1:26" ht="14.25" customHeight="1" x14ac:dyDescent="0.45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 spans="1:26" ht="14.25" customHeight="1" x14ac:dyDescent="0.45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 spans="1:26" ht="14.25" customHeight="1" x14ac:dyDescent="0.45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 spans="1:26" ht="14.25" customHeight="1" x14ac:dyDescent="0.45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 spans="1:26" ht="14.25" customHeight="1" x14ac:dyDescent="0.45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 spans="1:26" ht="14.25" customHeight="1" x14ac:dyDescent="0.45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 spans="1:26" ht="14.25" customHeight="1" x14ac:dyDescent="0.45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 spans="1:26" ht="14.25" customHeight="1" x14ac:dyDescent="0.45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 spans="1:26" ht="14.25" customHeight="1" x14ac:dyDescent="0.4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 spans="1:26" ht="14.25" customHeight="1" x14ac:dyDescent="0.45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 spans="1:26" ht="14.25" customHeight="1" x14ac:dyDescent="0.45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 spans="1:26" ht="14.25" customHeight="1" x14ac:dyDescent="0.45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 spans="1:26" ht="14.25" customHeight="1" x14ac:dyDescent="0.45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 spans="1:26" ht="14.25" customHeight="1" x14ac:dyDescent="0.45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 spans="1:26" ht="14.25" customHeight="1" x14ac:dyDescent="0.45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 spans="1:26" ht="14.25" customHeight="1" x14ac:dyDescent="0.45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 spans="1:26" ht="14.25" customHeight="1" x14ac:dyDescent="0.45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 spans="1:26" ht="14.25" customHeight="1" x14ac:dyDescent="0.45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 spans="1:26" ht="14.25" customHeight="1" x14ac:dyDescent="0.4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 spans="1:26" ht="14.25" customHeight="1" x14ac:dyDescent="0.45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 spans="1:26" ht="14.25" customHeight="1" x14ac:dyDescent="0.45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 spans="1:26" ht="14.25" customHeight="1" x14ac:dyDescent="0.45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 spans="1:26" ht="14.25" customHeight="1" x14ac:dyDescent="0.45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 spans="1:26" ht="14.25" customHeight="1" x14ac:dyDescent="0.45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 spans="1:26" ht="14.25" customHeight="1" x14ac:dyDescent="0.45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 spans="1:26" ht="14.25" customHeight="1" x14ac:dyDescent="0.45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 spans="1:26" ht="14.25" customHeight="1" x14ac:dyDescent="0.45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 spans="1:26" ht="14.25" customHeight="1" x14ac:dyDescent="0.45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 spans="1:26" ht="14.25" customHeight="1" x14ac:dyDescent="0.4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 spans="1:26" ht="14.25" customHeight="1" x14ac:dyDescent="0.45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 spans="1:26" ht="14.25" customHeight="1" x14ac:dyDescent="0.45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 spans="1:26" ht="14.25" customHeight="1" x14ac:dyDescent="0.45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 spans="1:26" ht="14.25" customHeight="1" x14ac:dyDescent="0.45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 spans="1:26" ht="14.25" customHeight="1" x14ac:dyDescent="0.45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 spans="1:26" ht="14.25" customHeight="1" x14ac:dyDescent="0.45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 spans="1:26" ht="14.25" customHeight="1" x14ac:dyDescent="0.45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 spans="1:26" ht="14.25" customHeight="1" x14ac:dyDescent="0.45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 spans="1:26" ht="14.25" customHeight="1" x14ac:dyDescent="0.45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 spans="1:26" ht="14.25" customHeight="1" x14ac:dyDescent="0.4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 spans="1:26" ht="14.25" customHeight="1" x14ac:dyDescent="0.45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 spans="1:26" ht="14.25" customHeight="1" x14ac:dyDescent="0.45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 spans="1:26" ht="14.25" customHeight="1" x14ac:dyDescent="0.45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 spans="1:26" ht="14.25" customHeight="1" x14ac:dyDescent="0.45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 spans="1:26" ht="14.25" customHeight="1" x14ac:dyDescent="0.45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 spans="1:26" ht="14.25" customHeight="1" x14ac:dyDescent="0.45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 spans="1:26" ht="14.25" customHeight="1" x14ac:dyDescent="0.45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 spans="1:26" ht="14.25" customHeight="1" x14ac:dyDescent="0.45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 spans="1:26" ht="14.25" customHeight="1" x14ac:dyDescent="0.45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 spans="1:26" ht="14.25" customHeight="1" x14ac:dyDescent="0.4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 spans="1:26" ht="14.25" customHeight="1" x14ac:dyDescent="0.45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 spans="1:26" ht="14.25" customHeight="1" x14ac:dyDescent="0.45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 spans="1:26" ht="14.25" customHeight="1" x14ac:dyDescent="0.45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 spans="1:26" ht="14.25" customHeight="1" x14ac:dyDescent="0.45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 spans="1:26" ht="14.25" customHeight="1" x14ac:dyDescent="0.45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 spans="1:26" ht="14.25" customHeight="1" x14ac:dyDescent="0.45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 spans="1:26" ht="14.25" customHeight="1" x14ac:dyDescent="0.45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 spans="1:26" ht="14.25" customHeight="1" x14ac:dyDescent="0.45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 spans="1:26" ht="14.25" customHeight="1" x14ac:dyDescent="0.45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 spans="1:26" ht="14.25" customHeight="1" x14ac:dyDescent="0.4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 spans="1:26" ht="14.25" customHeight="1" x14ac:dyDescent="0.45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 spans="1:26" ht="14.25" customHeight="1" x14ac:dyDescent="0.45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 spans="1:26" ht="14.25" customHeight="1" x14ac:dyDescent="0.45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 spans="1:26" ht="14.25" customHeight="1" x14ac:dyDescent="0.45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 spans="1:26" ht="14.25" customHeight="1" x14ac:dyDescent="0.45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 spans="1:26" ht="14.25" customHeight="1" x14ac:dyDescent="0.45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 spans="1:26" ht="14.25" customHeight="1" x14ac:dyDescent="0.45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 spans="1:26" ht="14.25" customHeight="1" x14ac:dyDescent="0.45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 spans="1:26" ht="14.25" customHeight="1" x14ac:dyDescent="0.45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 spans="1:26" ht="14.25" customHeight="1" x14ac:dyDescent="0.4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 spans="1:26" ht="14.25" customHeight="1" x14ac:dyDescent="0.45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 spans="1:26" ht="14.25" customHeight="1" x14ac:dyDescent="0.45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 spans="1:26" ht="14.25" customHeight="1" x14ac:dyDescent="0.45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 spans="1:26" ht="14.25" customHeight="1" x14ac:dyDescent="0.45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 spans="1:26" ht="14.25" customHeight="1" x14ac:dyDescent="0.45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 spans="1:26" ht="14.25" customHeight="1" x14ac:dyDescent="0.45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 spans="1:26" ht="14.25" customHeight="1" x14ac:dyDescent="0.45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 spans="1:26" ht="14.25" customHeight="1" x14ac:dyDescent="0.45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 spans="1:26" ht="14.25" customHeight="1" x14ac:dyDescent="0.45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 spans="1:26" ht="14.25" customHeight="1" x14ac:dyDescent="0.4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 spans="1:26" ht="14.25" customHeight="1" x14ac:dyDescent="0.45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 spans="1:26" ht="14.25" customHeight="1" x14ac:dyDescent="0.45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 spans="1:26" ht="14.25" customHeight="1" x14ac:dyDescent="0.45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 spans="1:26" ht="14.25" customHeight="1" x14ac:dyDescent="0.45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 spans="1:26" ht="14.25" customHeight="1" x14ac:dyDescent="0.45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 spans="1:26" ht="14.25" customHeight="1" x14ac:dyDescent="0.45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 spans="1:26" ht="14.25" customHeight="1" x14ac:dyDescent="0.45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 spans="1:26" ht="14.25" customHeight="1" x14ac:dyDescent="0.45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 spans="1:26" ht="14.25" customHeight="1" x14ac:dyDescent="0.45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 spans="1:26" ht="14.25" customHeight="1" x14ac:dyDescent="0.4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 spans="1:26" ht="14.25" customHeight="1" x14ac:dyDescent="0.45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 spans="1:26" ht="14.25" customHeight="1" x14ac:dyDescent="0.45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 spans="1:26" ht="14.25" customHeight="1" x14ac:dyDescent="0.45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 spans="1:26" ht="14.25" customHeight="1" x14ac:dyDescent="0.45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 spans="1:26" ht="14.25" customHeight="1" x14ac:dyDescent="0.45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 spans="1:26" ht="14.25" customHeight="1" x14ac:dyDescent="0.45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 spans="1:26" ht="14.25" customHeight="1" x14ac:dyDescent="0.45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 spans="1:26" ht="14.25" customHeight="1" x14ac:dyDescent="0.45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 spans="1:26" ht="14.25" customHeight="1" x14ac:dyDescent="0.45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 spans="1:26" ht="14.25" customHeight="1" x14ac:dyDescent="0.45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 spans="1:26" ht="14.25" customHeight="1" x14ac:dyDescent="0.45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 spans="1:26" ht="14.25" customHeight="1" x14ac:dyDescent="0.45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 spans="1:26" ht="14.25" customHeight="1" x14ac:dyDescent="0.45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 spans="1:26" ht="14.25" customHeight="1" x14ac:dyDescent="0.45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 spans="1:26" ht="14.25" customHeight="1" x14ac:dyDescent="0.45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 spans="1:26" ht="14.25" customHeight="1" x14ac:dyDescent="0.45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 spans="1:26" ht="14.25" customHeight="1" x14ac:dyDescent="0.45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 spans="1:26" ht="14.25" customHeight="1" x14ac:dyDescent="0.45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 spans="1:26" ht="14.25" customHeight="1" x14ac:dyDescent="0.45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 spans="1:26" ht="14.25" customHeight="1" x14ac:dyDescent="0.45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 spans="1:26" ht="14.25" customHeight="1" x14ac:dyDescent="0.45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 spans="1:26" ht="14.25" customHeight="1" x14ac:dyDescent="0.45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 spans="1:26" ht="14.25" customHeight="1" x14ac:dyDescent="0.45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 spans="1:26" ht="14.25" customHeight="1" x14ac:dyDescent="0.45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 spans="1:26" ht="14.25" customHeight="1" x14ac:dyDescent="0.45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 spans="1:26" ht="14.25" customHeight="1" x14ac:dyDescent="0.45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 spans="1:26" ht="14.25" customHeight="1" x14ac:dyDescent="0.45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 spans="1:26" ht="14.25" customHeight="1" x14ac:dyDescent="0.45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 spans="1:26" ht="14.25" customHeight="1" x14ac:dyDescent="0.45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 spans="1:26" ht="14.25" customHeight="1" x14ac:dyDescent="0.45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 spans="1:26" ht="14.25" customHeight="1" x14ac:dyDescent="0.45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 spans="1:26" ht="14.25" customHeight="1" x14ac:dyDescent="0.45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 spans="1:26" ht="14.25" customHeight="1" x14ac:dyDescent="0.45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 spans="1:26" ht="14.25" customHeight="1" x14ac:dyDescent="0.45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 spans="1:26" ht="14.25" customHeight="1" x14ac:dyDescent="0.45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 spans="1:26" ht="14.25" customHeight="1" x14ac:dyDescent="0.45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 spans="1:26" ht="14.25" customHeight="1" x14ac:dyDescent="0.45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 spans="1:26" ht="14.25" customHeight="1" x14ac:dyDescent="0.45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 spans="1:26" ht="14.25" customHeight="1" x14ac:dyDescent="0.45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 spans="1:26" ht="14.25" customHeight="1" x14ac:dyDescent="0.45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 spans="1:26" ht="14.25" customHeight="1" x14ac:dyDescent="0.45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 spans="1:26" ht="14.25" customHeight="1" x14ac:dyDescent="0.45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 spans="1:26" ht="14.25" customHeight="1" x14ac:dyDescent="0.45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 spans="1:26" ht="14.25" customHeight="1" x14ac:dyDescent="0.45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 spans="1:26" ht="14.25" customHeight="1" x14ac:dyDescent="0.45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 spans="1:26" ht="14.25" customHeight="1" x14ac:dyDescent="0.45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 spans="1:26" ht="14.25" customHeight="1" x14ac:dyDescent="0.45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 spans="1:26" ht="14.25" customHeight="1" x14ac:dyDescent="0.45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 spans="1:26" ht="14.25" customHeight="1" x14ac:dyDescent="0.45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 spans="1:26" ht="14.25" customHeight="1" x14ac:dyDescent="0.45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 spans="1:26" ht="14.25" customHeight="1" x14ac:dyDescent="0.45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 spans="1:26" ht="14.25" customHeight="1" x14ac:dyDescent="0.45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 spans="1:26" ht="14.25" customHeight="1" x14ac:dyDescent="0.45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 spans="1:26" ht="14.25" customHeight="1" x14ac:dyDescent="0.45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 spans="1:26" ht="14.25" customHeight="1" x14ac:dyDescent="0.45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 spans="1:26" ht="14.25" customHeight="1" x14ac:dyDescent="0.45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 spans="1:26" ht="14.25" customHeight="1" x14ac:dyDescent="0.45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 spans="1:26" ht="14.25" customHeight="1" x14ac:dyDescent="0.45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 spans="1:26" ht="14.25" customHeight="1" x14ac:dyDescent="0.45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 spans="1:26" ht="14.25" customHeight="1" x14ac:dyDescent="0.45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 spans="1:26" ht="14.25" customHeight="1" x14ac:dyDescent="0.45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 spans="1:26" ht="14.25" customHeight="1" x14ac:dyDescent="0.45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 spans="1:26" ht="14.25" customHeight="1" x14ac:dyDescent="0.45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 spans="1:26" ht="14.25" customHeight="1" x14ac:dyDescent="0.45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  <row r="1000" spans="1:26" ht="14.25" customHeight="1" x14ac:dyDescent="0.45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</row>
  </sheetData>
  <dataValidations count="2">
    <dataValidation type="list" allowBlank="1" sqref="H2:H300" xr:uid="{00000000-0002-0000-0900-000000000000}">
      <formula1>"Not Run,Pass,Fail,Blocked,Skip"</formula1>
    </dataValidation>
    <dataValidation type="list" allowBlank="1" sqref="D2:D300" xr:uid="{00000000-0002-0000-0900-000001000000}">
      <formula1>"Equivalence Partitioning (EP),Boundary Value Analysis (BVA),Decision Table Testing,State Transition Testing,Use Case Testing,Error Guessing,Branch / Condition Coverage,Input Domain Partitioning"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Test Cases</vt:lpstr>
      <vt:lpstr>Test Statistics</vt:lpstr>
      <vt:lpstr>Authentication</vt:lpstr>
      <vt:lpstr>Home Page</vt:lpstr>
      <vt:lpstr>Lesson Management</vt:lpstr>
      <vt:lpstr>Admin dashboard &amp; Course listsd</vt:lpstr>
      <vt:lpstr>Course Browsing</vt:lpstr>
      <vt:lpstr>Quiz&amp;Question Management</vt:lpstr>
      <vt:lpstr>SecurityTest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 Kien Luu</cp:lastModifiedBy>
  <dcterms:modified xsi:type="dcterms:W3CDTF">2026-10-18T23:19:57Z</dcterms:modified>
</cp:coreProperties>
</file>